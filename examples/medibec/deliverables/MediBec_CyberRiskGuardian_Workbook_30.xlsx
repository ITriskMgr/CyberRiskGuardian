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Analyse" sheetId="2" state="visible" r:id="rId4"/>
    <sheet name="Parameters" sheetId="3" state="visible" r:id="rId5"/>
    <sheet name="Inputs" sheetId="4" state="visible" r:id="rId6"/>
    <sheet name="Portfolio" sheetId="5" state="visible" r:id="rId7"/>
    <sheet name="Sensitivity" sheetId="6" state="visible" r:id="rId8"/>
    <sheet name="Case_View" sheetId="7" state="visible" r:id="rId9"/>
    <sheet name="Scenarios" sheetId="8" state="visible" r:id="rId10"/>
    <sheet name="Candidates" sheetId="9" state="visible" r:id="rId11"/>
    <sheet name="KRIs" sheetId="10" state="visible" r:id="rId12"/>
    <sheet name="Evidence" sheetId="11" state="visible" r:id="rId13"/>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C4" authorId="0">
      <text>
        <r>
          <rPr>
            <sz val="10"/>
            <rFont val="Arial"/>
            <family val="2"/>
          </rPr>
          <t xml:space="preserve">Phishing is constant and attempts are increasing; lures already observed. Evidence: E4, E6</t>
        </r>
      </text>
    </comment>
    <comment ref="C5" authorId="0">
      <text>
        <r>
          <rPr>
            <sz val="10"/>
            <rFont val="Arial"/>
            <family val="2"/>
          </rPr>
          <t xml:space="preserve">Healthcare is a sustained ransomware target; attempts rising. Evidence: E4</t>
        </r>
      </text>
    </comment>
    <comment ref="C6" authorId="0">
      <text>
        <r>
          <rPr>
            <sz val="10"/>
            <rFont val="Arial"/>
            <family val="2"/>
          </rPr>
          <t xml:space="preserve">Conditional on an intrusion reaching administrative level (S1/S2). Evidence: E4, E6</t>
        </r>
      </text>
    </comment>
    <comment ref="C7" authorId="0">
      <text>
        <r>
          <rPr>
            <sz val="10"/>
            <rFont val="Arial"/>
            <family val="2"/>
          </rPr>
          <t xml:space="preserve">Cloud storage is continuously scanned. Evidence: E4</t>
        </r>
      </text>
    </comment>
    <comment ref="C8" authorId="0">
      <text>
        <r>
          <rPr>
            <sz val="10"/>
            <rFont val="Arial"/>
            <family val="2"/>
          </rPr>
          <t xml:space="preserve">Insider snooping is recurrent in healthcare; service-account anomaly observed. Evidence: E6</t>
        </r>
      </text>
    </comment>
    <comment ref="C9" authorId="0">
      <text>
        <r>
          <rPr>
            <sz val="10"/>
            <rFont val="Arial"/>
            <family val="2"/>
          </rPr>
          <t xml:space="preserve">Edge-device exploitation campaigns are frequent. Evidence: E4</t>
        </r>
      </text>
    </comment>
    <comment ref="C10" authorId="0">
      <text>
        <r>
          <rPr>
            <sz val="10"/>
            <rFont val="Arial"/>
            <family val="2"/>
          </rPr>
          <t xml:space="preserve">Targeting of devices is less frequent than IT, but collateral infection is common. Evidence: E4</t>
        </r>
      </text>
    </comment>
    <comment ref="C11" authorId="0">
      <text>
        <r>
          <rPr>
            <sz val="10"/>
            <rFont val="Arial"/>
            <family val="2"/>
          </rPr>
          <t xml:space="preserve">Attempts ongoing; some will pass perimeter controls. Evidence: E4</t>
        </r>
      </text>
    </comment>
    <comment ref="C12" authorId="0">
      <text>
        <r>
          <rPr>
            <sz val="10"/>
            <rFont val="Arial"/>
            <family val="2"/>
          </rPr>
          <t xml:space="preserve">Supply-chain attacks on healthcare vendors are recurrent. Evidence: E7</t>
        </r>
      </text>
    </comment>
    <comment ref="C13" authorId="0">
      <text>
        <r>
          <rPr>
            <sz val="10"/>
            <rFont val="Arial"/>
            <family val="2"/>
          </rPr>
          <t xml:space="preserve">Integrity attacks are rarer than theft or encryption. Evidence: E4</t>
        </r>
      </text>
    </comment>
    <comment ref="C14" authorId="0">
      <text>
        <r>
          <rPr>
            <sz val="10"/>
            <rFont val="Arial"/>
            <family val="2"/>
          </rPr>
          <t xml:space="preserve">Secret leakage is common where development occurs; MediBec's development footprint is uncertain. Evidence: E3, E7</t>
        </r>
      </text>
    </comment>
    <comment ref="C15" authorId="0">
      <text>
        <r>
          <rPr>
            <sz val="10"/>
            <rFont val="Arial"/>
            <family val="2"/>
          </rPr>
          <t xml:space="preserve">Requires physical proximity; clinics have public waiting rooms. Evidence: E1</t>
        </r>
      </text>
    </comment>
    <comment ref="C16" authorId="0">
      <text>
        <r>
          <rPr>
            <sz val="10"/>
            <rFont val="Arial"/>
            <family val="2"/>
          </rPr>
          <t xml:space="preserve">DDoS campaigns against healthcare occur; MediBec profile moderate. Evidence: E4</t>
        </r>
      </text>
    </comment>
    <comment ref="C17" authorId="0">
      <text>
        <r>
          <rPr>
            <sz val="10"/>
            <rFont val="Arial"/>
            <family val="2"/>
          </rPr>
          <t xml:space="preserve">BEC is among the most frequent fraud types; billing staff already targeted. Evidence: E6</t>
        </r>
      </text>
    </comment>
    <comment ref="C18" authorId="0">
      <text>
        <r>
          <rPr>
            <sz val="10"/>
            <rFont val="Arial"/>
            <family val="2"/>
          </rPr>
          <t xml:space="preserve">Across 10 clinics, some device loss each year is near certain. Evidence: E1, E2</t>
        </r>
      </text>
    </comment>
    <comment ref="C19" authorId="0">
      <text>
        <r>
          <rPr>
            <sz val="10"/>
            <rFont val="Arial"/>
            <family val="2"/>
          </rPr>
          <t xml:space="preserve">Multi-hour outages of a single hub occur over a 12-month horizon. Evidence: E2</t>
        </r>
      </text>
    </comment>
    <comment ref="C20" authorId="0">
      <text>
        <r>
          <rPr>
            <sz val="10"/>
            <rFont val="Arial"/>
            <family val="2"/>
          </rPr>
          <t xml:space="preserve">Local storage in 10 clinics; insiders and intruders both relevant. Evidence: E2, E4</t>
        </r>
      </text>
    </comment>
    <comment ref="C21" authorId="0">
      <text>
        <r>
          <rPr>
            <sz val="10"/>
            <rFont val="Arial"/>
            <family val="2"/>
          </rPr>
          <t xml:space="preserve">Public applications are constantly probed. Evidence: E8</t>
        </r>
      </text>
    </comment>
    <comment ref="C22" authorId="0">
      <text>
        <r>
          <rPr>
            <sz val="10"/>
            <rFont val="Arial"/>
            <family val="2"/>
          </rPr>
          <t xml:space="preserve">Rare but high-impact events. Evidence: E7</t>
        </r>
      </text>
    </comment>
    <comment ref="C23" authorId="0">
      <text>
        <r>
          <rPr>
            <sz val="10"/>
            <rFont val="Arial"/>
            <family val="2"/>
          </rPr>
          <t xml:space="preserve">AiTM kits and consent phishing are widespread. Evidence: E4</t>
        </r>
      </text>
    </comment>
    <comment ref="C24" authorId="0">
      <text>
        <r>
          <rPr>
            <sz val="10"/>
            <rFont val="Arial"/>
            <family val="2"/>
          </rPr>
          <t xml:space="preserve">Human error is near certain across 10 clinics in 12 months. Evidence: E1</t>
        </r>
      </text>
    </comment>
    <comment ref="C25" authorId="0">
      <text>
        <r>
          <rPr>
            <sz val="10"/>
            <rFont val="Arial"/>
            <family val="2"/>
          </rPr>
          <t xml:space="preserve">Opportunistic; depends on telehealth volume (Information gap). Evidence: E2</t>
        </r>
      </text>
    </comment>
    <comment ref="C26" authorId="0">
      <text>
        <r>
          <rPr>
            <sz val="10"/>
            <rFont val="Arial"/>
            <family val="2"/>
          </rPr>
          <t xml:space="preserve">Continuous internet scanning and password attacks. Evidence: E4</t>
        </r>
      </text>
    </comment>
    <comment ref="C27" authorId="0">
      <text>
        <r>
          <rPr>
            <sz val="10"/>
            <rFont val="Arial"/>
            <family val="2"/>
          </rPr>
          <t xml:space="preserve">External media is imported routinely. Evidence: E2</t>
        </r>
      </text>
    </comment>
    <comment ref="C28" authorId="0">
      <text>
        <r>
          <rPr>
            <sz val="10"/>
            <rFont val="Arial"/>
            <family val="2"/>
          </rPr>
          <t xml:space="preserve">Disposals occur every year. Evidence: E2</t>
        </r>
      </text>
    </comment>
    <comment ref="C29" authorId="0">
      <text>
        <r>
          <rPr>
            <sz val="10"/>
            <rFont val="Arial"/>
            <family val="2"/>
          </rPr>
          <t xml:space="preserve">Generative-AI use among clinicians is widespread by 2026. Evidence: E1</t>
        </r>
      </text>
    </comment>
    <comment ref="C30" authorId="0">
      <text>
        <r>
          <rPr>
            <sz val="10"/>
            <rFont val="Arial"/>
            <family val="2"/>
          </rPr>
          <t xml:space="preserve">Help-desk social engineering is an active technique against healthcare. Evidence: E4</t>
        </r>
      </text>
    </comment>
    <comment ref="C31" authorId="0">
      <text>
        <r>
          <rPr>
            <sz val="10"/>
            <rFont val="Arial"/>
            <family val="2"/>
          </rPr>
          <t xml:space="preserve">Malicious privileged insiders are rare. Evidence: E3</t>
        </r>
      </text>
    </comment>
    <comment ref="C32" authorId="0">
      <text>
        <r>
          <rPr>
            <sz val="10"/>
            <rFont val="Arial"/>
            <family val="2"/>
          </rPr>
          <t xml:space="preserve">Requires internal position and intent. Evidence: E2</t>
        </r>
      </text>
    </comment>
    <comment ref="C33" authorId="0">
      <text>
        <r>
          <rPr>
            <sz val="10"/>
            <rFont val="Arial"/>
            <family val="2"/>
          </rPr>
          <t xml:space="preserve">Look-alike domain already observed in the exercise. Evidence: E6</t>
        </r>
      </text>
    </comment>
    <comment ref="D4" authorId="0">
      <text>
        <r>
          <rPr>
            <sz val="10"/>
            <rFont val="Arial"/>
            <family val="2"/>
          </rPr>
          <t xml:space="preserve">Push MFA is bypassable by fatigue; no conditional access or macro blocking evidenced. Evidence: E6</t>
        </r>
      </text>
    </comment>
    <comment ref="D5" authorId="0">
      <text>
        <r>
          <rPr>
            <sz val="10"/>
            <rFont val="Arial"/>
            <family val="2"/>
          </rPr>
          <t xml:space="preserve">Multiple weak links (triage, segmentation, backup isolation) but perimeter controls exist. Evidence: E2, E6</t>
        </r>
      </text>
    </comment>
    <comment ref="D6" authorId="0">
      <text>
        <r>
          <rPr>
            <sz val="10"/>
            <rFont val="Arial"/>
            <family val="2"/>
          </rPr>
          <t xml:space="preserve">Isolation unknown; failures in E6 suggest exposure. Evidence: E2, E6</t>
        </r>
      </text>
    </comment>
    <comment ref="D7" authorId="0">
      <text>
        <r>
          <rPr>
            <sz val="10"/>
            <rFont val="Arial"/>
            <family val="2"/>
          </rPr>
          <t xml:space="preserve">Depends on sharing configuration - unknown; E6 suggests weakness. Evidence: E6</t>
        </r>
      </text>
    </comment>
    <comment ref="D8" authorId="0">
      <text>
        <r>
          <rPr>
            <sz val="10"/>
            <rFont val="Arial"/>
            <family val="2"/>
          </rPr>
          <t xml:space="preserve">Legitimate access bypasses perimeter controls; no analytics. Evidence: E6, E7</t>
        </r>
      </text>
    </comment>
    <comment ref="D9" authorId="0">
      <text>
        <r>
          <rPr>
            <sz val="10"/>
            <rFont val="Arial"/>
            <family val="2"/>
          </rPr>
          <t xml:space="preserve">Patching lag documented; inventory incomplete. Evidence: E3, E7</t>
        </r>
      </text>
    </comment>
    <comment ref="D10" authorId="0">
      <text>
        <r>
          <rPr>
            <sz val="10"/>
            <rFont val="Arial"/>
            <family val="2"/>
          </rPr>
          <t xml:space="preserve">Patch and segmentation constraints documented. Evidence: E3, E4</t>
        </r>
      </text>
    </comment>
    <comment ref="D11" authorId="0">
      <text>
        <r>
          <rPr>
            <sz val="10"/>
            <rFont val="Arial"/>
            <family val="2"/>
          </rPr>
          <t xml:space="preserve">Evidence of mis-triaged alerts and uncorrelated signals. Evidence: E6</t>
        </r>
      </text>
    </comment>
    <comment ref="D12" authorId="0">
      <text>
        <r>
          <rPr>
            <sz val="10"/>
            <rFont val="Arial"/>
            <family val="2"/>
          </rPr>
          <t xml:space="preserve">Controls over vendor access not evidenced. Evidence: E7</t>
        </r>
      </text>
    </comment>
    <comment ref="D13" authorId="0">
      <text>
        <r>
          <rPr>
            <sz val="10"/>
            <rFont val="Arial"/>
            <family val="2"/>
          </rPr>
          <t xml:space="preserve">Requires write access; monitoring absent. Evidence: E8</t>
        </r>
      </text>
    </comment>
    <comment ref="D14" authorId="0">
      <text>
        <r>
          <rPr>
            <sz val="10"/>
            <rFont val="Arial"/>
            <family val="2"/>
          </rPr>
          <t xml:space="preserve">No vault, scanning or rotation evidenced. Evidence: E7</t>
        </r>
      </text>
    </comment>
    <comment ref="D15" authorId="0">
      <text>
        <r>
          <rPr>
            <sz val="10"/>
            <rFont val="Arial"/>
            <family val="2"/>
          </rPr>
          <t xml:space="preserve">Wireless controls unknown. Evidence: E7</t>
        </r>
      </text>
    </comment>
    <comment ref="D16" authorId="0">
      <text>
        <r>
          <rPr>
            <sz val="10"/>
            <rFont val="Arial"/>
            <family val="2"/>
          </rPr>
          <t xml:space="preserve">No mitigation evidenced. Evidence: E2</t>
        </r>
      </text>
    </comment>
    <comment ref="D17" authorId="0">
      <text>
        <r>
          <rPr>
            <sz val="10"/>
            <rFont val="Arial"/>
            <family val="2"/>
          </rPr>
          <t xml:space="preserve">Verification procedures unknown. Evidence: E1</t>
        </r>
      </text>
    </comment>
    <comment ref="D18" authorId="0">
      <text>
        <r>
          <rPr>
            <sz val="10"/>
            <rFont val="Arial"/>
            <family val="2"/>
          </rPr>
          <t xml:space="preserve">Some protection may exist but is not evidenced. Evidence: E2</t>
        </r>
      </text>
    </comment>
    <comment ref="D19" authorId="0">
      <text>
        <r>
          <rPr>
            <sz val="10"/>
            <rFont val="Arial"/>
            <family val="2"/>
          </rPr>
          <t xml:space="preserve">Redundancy not evidenced. Evidence: E2</t>
        </r>
      </text>
    </comment>
    <comment ref="D20" authorId="0">
      <text>
        <r>
          <rPr>
            <sz val="10"/>
            <rFont val="Arial"/>
            <family val="2"/>
          </rPr>
          <t xml:space="preserve">Access controls and inventory unknown. Evidence: E4</t>
        </r>
      </text>
    </comment>
    <comment ref="D21" authorId="0">
      <text>
        <r>
          <rPr>
            <sz val="10"/>
            <rFont val="Arial"/>
            <family val="2"/>
          </rPr>
          <t xml:space="preserve">Flaw presence unknown; no testing evidence. Evidence: E7</t>
        </r>
      </text>
    </comment>
    <comment ref="D22" authorId="0">
      <text>
        <r>
          <rPr>
            <sz val="10"/>
            <rFont val="Arial"/>
            <family val="2"/>
          </rPr>
          <t xml:space="preserve">Signed updates bypass most customer controls. Evidence: E7</t>
        </r>
      </text>
    </comment>
    <comment ref="D23" authorId="0">
      <text>
        <r>
          <rPr>
            <sz val="10"/>
            <rFont val="Arial"/>
            <family val="2"/>
          </rPr>
          <t xml:space="preserve">Push MFA and no conditional access. Evidence: E6</t>
        </r>
      </text>
    </comment>
    <comment ref="D24" authorId="0">
      <text>
        <r>
          <rPr>
            <sz val="10"/>
            <rFont val="Arial"/>
            <family val="2"/>
          </rPr>
          <t xml:space="preserve">Few technical safeguards evidenced. Evidence: E7</t>
        </r>
      </text>
    </comment>
    <comment ref="D25" authorId="0">
      <text>
        <r>
          <rPr>
            <sz val="10"/>
            <rFont val="Arial"/>
            <family val="2"/>
          </rPr>
          <t xml:space="preserve">Configuration unknown. Evidence: E2</t>
        </r>
      </text>
    </comment>
    <comment ref="D26" authorId="0">
      <text>
        <r>
          <rPr>
            <sz val="10"/>
            <rFont val="Arial"/>
            <family val="2"/>
          </rPr>
          <t xml:space="preserve">Depends on actual exposure - unknown. Evidence: E4</t>
        </r>
      </text>
    </comment>
    <comment ref="D27" authorId="0">
      <text>
        <r>
          <rPr>
            <sz val="10"/>
            <rFont val="Arial"/>
            <family val="2"/>
          </rPr>
          <t xml:space="preserve">Endpoint coverage of device consoles unknown. Evidence: E4</t>
        </r>
      </text>
    </comment>
    <comment ref="D28" authorId="0">
      <text>
        <r>
          <rPr>
            <sz val="10"/>
            <rFont val="Arial"/>
            <family val="2"/>
          </rPr>
          <t xml:space="preserve">Sanitization practice unknown. Evidence: E2</t>
        </r>
      </text>
    </comment>
    <comment ref="D29" authorId="0">
      <text>
        <r>
          <rPr>
            <sz val="10"/>
            <rFont val="Arial"/>
            <family val="2"/>
          </rPr>
          <t xml:space="preserve">No policy or technical controls evidenced. Evidence: E5</t>
        </r>
      </text>
    </comment>
    <comment ref="D30" authorId="0">
      <text>
        <r>
          <rPr>
            <sz val="10"/>
            <rFont val="Arial"/>
            <family val="2"/>
          </rPr>
          <t xml:space="preserve">Verification procedures unknown. Evidence: E3</t>
        </r>
      </text>
    </comment>
    <comment ref="D31" authorId="0">
      <text>
        <r>
          <rPr>
            <sz val="10"/>
            <rFont val="Arial"/>
            <family val="2"/>
          </rPr>
          <t xml:space="preserve">If motivated, broad privileges make success likely. Evidence: E3, E7</t>
        </r>
      </text>
    </comment>
    <comment ref="D32" authorId="0">
      <text>
        <r>
          <rPr>
            <sz val="10"/>
            <rFont val="Arial"/>
            <family val="2"/>
          </rPr>
          <t xml:space="preserve">Cleartext likely; exploitation requires skill. Evidence: E2</t>
        </r>
      </text>
    </comment>
    <comment ref="D33" authorId="0">
      <text>
        <r>
          <rPr>
            <sz val="10"/>
            <rFont val="Arial"/>
            <family val="2"/>
          </rPr>
          <t xml:space="preserve">No brand protection evidenced. Evidence: E6</t>
        </r>
      </text>
    </comment>
    <comment ref="E4" authorId="0">
      <text>
        <r>
          <rPr>
            <sz val="10"/>
            <rFont val="Arial"/>
            <family val="2"/>
          </rPr>
          <t xml:space="preserve">Access to a subset of records; containment possible if detected. Evidence: E1, E6</t>
        </r>
      </text>
    </comment>
    <comment ref="E5" authorId="0">
      <text>
        <r>
          <rPr>
            <sz val="10"/>
            <rFont val="Arial"/>
            <family val="2"/>
          </rPr>
          <t xml:space="preserve">Multi-day disruption of several clinics. Evidence: E1, E6</t>
        </r>
      </text>
    </comment>
    <comment ref="E6" authorId="0">
      <text>
        <r>
          <rPr>
            <sz val="10"/>
            <rFont val="Arial"/>
            <family val="2"/>
          </rPr>
          <t xml:space="preserve">Partial loss of recent restore points. Evidence: E2</t>
        </r>
      </text>
    </comment>
    <comment ref="E7" authorId="0">
      <text>
        <r>
          <rPr>
            <sz val="10"/>
            <rFont val="Arial"/>
            <family val="2"/>
          </rPr>
          <t xml:space="preserve">Partial data set exposed. Evidence: E6</t>
        </r>
      </text>
    </comment>
    <comment ref="E8" authorId="0">
      <text>
        <r>
          <rPr>
            <sz val="10"/>
            <rFont val="Arial"/>
            <family val="2"/>
          </rPr>
          <t xml:space="preserve">Limited set of records. Evidence: E1</t>
        </r>
      </text>
    </comment>
    <comment ref="E9" authorId="0">
      <text>
        <r>
          <rPr>
            <sz val="10"/>
            <rFont val="Arial"/>
            <family val="2"/>
          </rPr>
          <t xml:space="preserve">Foothold with some data access. Evidence: E2</t>
        </r>
      </text>
    </comment>
    <comment ref="E10" authorId="0">
      <text>
        <r>
          <rPr>
            <sz val="10"/>
            <rFont val="Arial"/>
            <family val="2"/>
          </rPr>
          <t xml:space="preserve">Some devices unavailable at one clinic. Evidence: E1</t>
        </r>
      </text>
    </comment>
    <comment ref="E11" authorId="0">
      <text>
        <r>
          <rPr>
            <sz val="10"/>
            <rFont val="Arial"/>
            <family val="2"/>
          </rPr>
          <t xml:space="preserve">Incident escalates before containment. Evidence: E6</t>
        </r>
      </text>
    </comment>
    <comment ref="E12" authorId="0">
      <text>
        <r>
          <rPr>
            <sz val="10"/>
            <rFont val="Arial"/>
            <family val="2"/>
          </rPr>
          <t xml:space="preserve">Breach through one vendor path. Evidence: E2</t>
        </r>
      </text>
    </comment>
    <comment ref="E13" authorId="0">
      <text>
        <r>
          <rPr>
            <sz val="10"/>
            <rFont val="Arial"/>
            <family val="2"/>
          </rPr>
          <t xml:space="preserve">Limited record set altered and detected. Evidence: E1</t>
        </r>
      </text>
    </comment>
    <comment ref="E14" authorId="0">
      <text>
        <r>
          <rPr>
            <sz val="10"/>
            <rFont val="Arial"/>
            <family val="2"/>
          </rPr>
          <t xml:space="preserve">Data reachable by one key. Evidence: E7</t>
        </r>
      </text>
    </comment>
    <comment ref="E15" authorId="0">
      <text>
        <r>
          <rPr>
            <sz val="10"/>
            <rFont val="Arial"/>
            <family val="2"/>
          </rPr>
          <t xml:space="preserve">Access limited to one clinic. Evidence: E1</t>
        </r>
      </text>
    </comment>
    <comment ref="E16" authorId="0">
      <text>
        <r>
          <rPr>
            <sz val="10"/>
            <rFont val="Arial"/>
            <family val="2"/>
          </rPr>
          <t xml:space="preserve">Hours of online unavailability. Evidence: E8</t>
        </r>
      </text>
    </comment>
    <comment ref="E17" authorId="0">
      <text>
        <r>
          <rPr>
            <sz val="10"/>
            <rFont val="Arial"/>
            <family val="2"/>
          </rPr>
          <t xml:space="preserve">One diverted payment. Evidence: E1</t>
        </r>
      </text>
    </comment>
    <comment ref="E18" authorId="0">
      <text>
        <r>
          <rPr>
            <sz val="10"/>
            <rFont val="Arial"/>
            <family val="2"/>
          </rPr>
          <t xml:space="preserve">Small number of records. Evidence: E2</t>
        </r>
      </text>
    </comment>
    <comment ref="E19" authorId="0">
      <text>
        <r>
          <rPr>
            <sz val="10"/>
            <rFont val="Arial"/>
            <family val="2"/>
          </rPr>
          <t xml:space="preserve">Hours of network-wide outage. Evidence: E1</t>
        </r>
      </text>
    </comment>
    <comment ref="E20" authorId="0">
      <text>
        <r>
          <rPr>
            <sz val="10"/>
            <rFont val="Arial"/>
            <family val="2"/>
          </rPr>
          <t xml:space="preserve">One clinic's local data. Evidence: E2</t>
        </r>
      </text>
    </comment>
    <comment ref="E21" authorId="0">
      <text>
        <r>
          <rPr>
            <sz val="10"/>
            <rFont val="Arial"/>
            <family val="2"/>
          </rPr>
          <t xml:space="preserve">Partial enumeration before detection. Evidence: E8</t>
        </r>
      </text>
    </comment>
    <comment ref="E22" authorId="0">
      <text>
        <r>
          <rPr>
            <sz val="10"/>
            <rFont val="Arial"/>
            <family val="2"/>
          </rPr>
          <t xml:space="preserve">Foothold on many hosts. Evidence: E2</t>
        </r>
      </text>
    </comment>
    <comment ref="E23" authorId="0">
      <text>
        <r>
          <rPr>
            <sz val="10"/>
            <rFont val="Arial"/>
            <family val="2"/>
          </rPr>
          <t xml:space="preserve">Partial tenant data access. Evidence: E2</t>
        </r>
      </text>
    </comment>
    <comment ref="E24" authorId="0">
      <text>
        <r>
          <rPr>
            <sz val="10"/>
            <rFont val="Arial"/>
            <family val="2"/>
          </rPr>
          <t xml:space="preserve">Single patient or small batch. Evidence: E1</t>
        </r>
      </text>
    </comment>
    <comment ref="E25" authorId="0">
      <text>
        <r>
          <rPr>
            <sz val="10"/>
            <rFont val="Arial"/>
            <family val="2"/>
          </rPr>
          <t xml:space="preserve">Individual consultations. Evidence: E2</t>
        </r>
      </text>
    </comment>
    <comment ref="E26" authorId="0">
      <text>
        <r>
          <rPr>
            <sz val="10"/>
            <rFont val="Arial"/>
            <family val="2"/>
          </rPr>
          <t xml:space="preserve">Control of one infrastructure component. Evidence: E2</t>
        </r>
      </text>
    </comment>
    <comment ref="E27" authorId="0">
      <text>
        <r>
          <rPr>
            <sz val="10"/>
            <rFont val="Arial"/>
            <family val="2"/>
          </rPr>
          <t xml:space="preserve">One imaging area disrupted. Evidence: E2</t>
        </r>
      </text>
    </comment>
    <comment ref="E28" authorId="0">
      <text>
        <r>
          <rPr>
            <sz val="10"/>
            <rFont val="Arial"/>
            <family val="2"/>
          </rPr>
          <t xml:space="preserve">One device's data. Evidence: E2</t>
        </r>
      </text>
    </comment>
    <comment ref="E29" authorId="0">
      <text>
        <r>
          <rPr>
            <sz val="10"/>
            <rFont val="Arial"/>
            <family val="2"/>
          </rPr>
          <t xml:space="preserve">Limited volume, low misuse likelihood. Evidence: E1</t>
        </r>
      </text>
    </comment>
    <comment ref="E30" authorId="0">
      <text>
        <r>
          <rPr>
            <sz val="10"/>
            <rFont val="Arial"/>
            <family val="2"/>
          </rPr>
          <t xml:space="preserve">One account's reach. Evidence: E6</t>
        </r>
      </text>
    </comment>
    <comment ref="E31" authorId="0">
      <text>
        <r>
          <rPr>
            <sz val="10"/>
            <rFont val="Arial"/>
            <family val="2"/>
          </rPr>
          <t xml:space="preserve">Several systems destroyed. Evidence: E2</t>
        </r>
      </text>
    </comment>
    <comment ref="E32" authorId="0">
      <text>
        <r>
          <rPr>
            <sz val="10"/>
            <rFont val="Arial"/>
            <family val="2"/>
          </rPr>
          <t xml:space="preserve">Some results exposed. Evidence: E2</t>
        </r>
      </text>
    </comment>
    <comment ref="E33" authorId="0">
      <text>
        <r>
          <rPr>
            <sz val="10"/>
            <rFont val="Arial"/>
            <family val="2"/>
          </rPr>
          <t xml:space="preserve">Some patients defrauded. Evidence: E6</t>
        </r>
      </text>
    </comment>
    <comment ref="F4" authorId="0">
      <text>
        <r>
          <rPr>
            <sz val="10"/>
            <rFont val="Arial"/>
            <family val="2"/>
          </rPr>
          <t xml:space="preserve">Full EHR access or pivot to ransomware. Evidence: E1</t>
        </r>
      </text>
    </comment>
    <comment ref="F5" authorId="0">
      <text>
        <r>
          <rPr>
            <sz val="10"/>
            <rFont val="Arial"/>
            <family val="2"/>
          </rPr>
          <t xml:space="preserve">Network-wide outage with data theft and failed recovery. Evidence: E1</t>
        </r>
      </text>
    </comment>
    <comment ref="F6" authorId="0">
      <text>
        <r>
          <rPr>
            <sz val="10"/>
            <rFont val="Arial"/>
            <family val="2"/>
          </rPr>
          <t xml:space="preserve">No usable backup for EHR. Evidence: E1</t>
        </r>
      </text>
    </comment>
    <comment ref="F7" authorId="0">
      <text>
        <r>
          <rPr>
            <sz val="10"/>
            <rFont val="Arial"/>
            <family val="2"/>
          </rPr>
          <t xml:space="preserve">Entire export history exposed. Evidence: E1</t>
        </r>
      </text>
    </comment>
    <comment ref="F8" authorId="0">
      <text>
        <r>
          <rPr>
            <sz val="10"/>
            <rFont val="Arial"/>
            <family val="2"/>
          </rPr>
          <t xml:space="preserve">Bulk extraction through the service account. Evidence: E6</t>
        </r>
      </text>
    </comment>
    <comment ref="F9" authorId="0">
      <text>
        <r>
          <rPr>
            <sz val="10"/>
            <rFont val="Arial"/>
            <family val="2"/>
          </rPr>
          <t xml:space="preserve">Precursor to network-wide ransomware. Evidence: E1</t>
        </r>
      </text>
    </comment>
    <comment ref="F10" authorId="0">
      <text>
        <r>
          <rPr>
            <sz val="10"/>
            <rFont val="Arial"/>
            <family val="2"/>
          </rPr>
          <t xml:space="preserve">Patient harm from altered or unavailable equipment. Evidence: E5</t>
        </r>
      </text>
    </comment>
    <comment ref="F11" authorId="0">
      <text>
        <r>
          <rPr>
            <sz val="10"/>
            <rFont val="Arial"/>
            <family val="2"/>
          </rPr>
          <t xml:space="preserve">Full ransomware and breach scenario. Evidence: E6</t>
        </r>
      </text>
    </comment>
    <comment ref="F12" authorId="0">
      <text>
        <r>
          <rPr>
            <sz val="10"/>
            <rFont val="Arial"/>
            <family val="2"/>
          </rPr>
          <t xml:space="preserve">EHR vendor compromise affecting all clinics. Evidence: E1</t>
        </r>
      </text>
    </comment>
    <comment ref="F13" authorId="0">
      <text>
        <r>
          <rPr>
            <sz val="10"/>
            <rFont val="Arial"/>
            <family val="2"/>
          </rPr>
          <t xml:space="preserve">Patient harm from undetected alteration. Evidence: E5</t>
        </r>
      </text>
    </comment>
    <comment ref="F14" authorId="0">
      <text>
        <r>
          <rPr>
            <sz val="10"/>
            <rFont val="Arial"/>
            <family val="2"/>
          </rPr>
          <t xml:space="preserve">Key with broad EHR or storage scope. Evidence: E1</t>
        </r>
      </text>
    </comment>
    <comment ref="F15" authorId="0">
      <text>
        <r>
          <rPr>
            <sz val="10"/>
            <rFont val="Arial"/>
            <family val="2"/>
          </rPr>
          <t xml:space="preserve">Foothold leading to network-wide compromise. Evidence: E2</t>
        </r>
      </text>
    </comment>
    <comment ref="F16" authorId="0">
      <text>
        <r>
          <rPr>
            <sz val="10"/>
            <rFont val="Arial"/>
            <family val="2"/>
          </rPr>
          <t xml:space="preserve">Multi-day disruption including cloud access. Evidence: E2</t>
        </r>
      </text>
    </comment>
    <comment ref="F17" authorId="0">
      <text>
        <r>
          <rPr>
            <sz val="10"/>
            <rFont val="Arial"/>
            <family val="2"/>
          </rPr>
          <t xml:space="preserve">Several large payments diverted. Evidence: E3</t>
        </r>
      </text>
    </comment>
    <comment ref="F18" authorId="0">
      <text>
        <r>
          <rPr>
            <sz val="10"/>
            <rFont val="Arial"/>
            <family val="2"/>
          </rPr>
          <t xml:space="preserve">Live EHR session allows wider access. Evidence: E2</t>
        </r>
      </text>
    </comment>
    <comment ref="F19" authorId="0">
      <text>
        <r>
          <rPr>
            <sz val="10"/>
            <rFont val="Arial"/>
            <family val="2"/>
          </rPr>
          <t xml:space="preserve">Multi-day loss of the hub. Evidence: E2</t>
        </r>
      </text>
    </comment>
    <comment ref="F20" authorId="0">
      <text>
        <r>
          <rPr>
            <sz val="10"/>
            <rFont val="Arial"/>
            <family val="2"/>
          </rPr>
          <t xml:space="preserve">Multiple clinics' historical data. Evidence: E2</t>
        </r>
      </text>
    </comment>
    <comment ref="F21" authorId="0">
      <text>
        <r>
          <rPr>
            <sz val="10"/>
            <rFont val="Arial"/>
            <family val="2"/>
          </rPr>
          <t xml:space="preserve">Full patient document store. Evidence: E1</t>
        </r>
      </text>
    </comment>
    <comment ref="F22" authorId="0">
      <text>
        <r>
          <rPr>
            <sz val="10"/>
            <rFont val="Arial"/>
            <family val="2"/>
          </rPr>
          <t xml:space="preserve">Enterprise-wide compromise. Evidence: E2</t>
        </r>
      </text>
    </comment>
    <comment ref="F23" authorId="0">
      <text>
        <r>
          <rPr>
            <sz val="10"/>
            <rFont val="Arial"/>
            <family val="2"/>
          </rPr>
          <t xml:space="preserve">Full tenant takeover. Evidence: E2</t>
        </r>
      </text>
    </comment>
    <comment ref="F24" authorId="0">
      <text>
        <r>
          <rPr>
            <sz val="10"/>
            <rFont val="Arial"/>
            <family val="2"/>
          </rPr>
          <t xml:space="preserve">Large batch sent externally. Evidence: E1</t>
        </r>
      </text>
    </comment>
    <comment ref="F25" authorId="0">
      <text>
        <r>
          <rPr>
            <sz val="10"/>
            <rFont val="Arial"/>
            <family val="2"/>
          </rPr>
          <t xml:space="preserve">Systematic interception. Evidence: E2</t>
        </r>
      </text>
    </comment>
    <comment ref="F26" authorId="0">
      <text>
        <r>
          <rPr>
            <sz val="10"/>
            <rFont val="Arial"/>
            <family val="2"/>
          </rPr>
          <t xml:space="preserve">Hypervisor-level ransomware. Evidence: E2</t>
        </r>
      </text>
    </comment>
    <comment ref="F27" authorId="0">
      <text>
        <r>
          <rPr>
            <sz val="10"/>
            <rFont val="Arial"/>
            <family val="2"/>
          </rPr>
          <t xml:space="preserve">Spread to multiple devices. Evidence: E4</t>
        </r>
      </text>
    </comment>
    <comment ref="F28" authorId="0">
      <text>
        <r>
          <rPr>
            <sz val="10"/>
            <rFont val="Arial"/>
            <family val="2"/>
          </rPr>
          <t xml:space="preserve">Batch of storage units. Evidence: E2</t>
        </r>
      </text>
    </comment>
    <comment ref="F29" authorId="0">
      <text>
        <r>
          <rPr>
            <sz val="10"/>
            <rFont val="Arial"/>
            <family val="2"/>
          </rPr>
          <t xml:space="preserve">Systemic transfer plus clinical errors. Evidence: E5</t>
        </r>
      </text>
    </comment>
    <comment ref="F30" authorId="0">
      <text>
        <r>
          <rPr>
            <sz val="10"/>
            <rFont val="Arial"/>
            <family val="2"/>
          </rPr>
          <t xml:space="preserve">Privileged account leads to enterprise compromise. Evidence: E1</t>
        </r>
      </text>
    </comment>
    <comment ref="F31" authorId="0">
      <text>
        <r>
          <rPr>
            <sz val="10"/>
            <rFont val="Arial"/>
            <family val="2"/>
          </rPr>
          <t xml:space="preserve">Backups and core systems destroyed. Evidence: E2</t>
        </r>
      </text>
    </comment>
    <comment ref="F32" authorId="0">
      <text>
        <r>
          <rPr>
            <sz val="10"/>
            <rFont val="Arial"/>
            <family val="2"/>
          </rPr>
          <t xml:space="preserve">Altered results lead to harm. Evidence: E5</t>
        </r>
      </text>
    </comment>
    <comment ref="F33" authorId="0">
      <text>
        <r>
          <rPr>
            <sz val="10"/>
            <rFont val="Arial"/>
            <family val="2"/>
          </rPr>
          <t xml:space="preserve">Large campaign and portal clone. Evidence: E6</t>
        </r>
      </text>
    </comment>
    <comment ref="G4" authorId="0">
      <text>
        <r>
          <rPr>
            <sz val="10"/>
            <rFont val="Arial"/>
            <family val="2"/>
          </rPr>
          <t xml:space="preserve">Two-person team; alert triage weak; IR untested. Evidence: E3, E6</t>
        </r>
      </text>
    </comment>
    <comment ref="G5" authorId="0">
      <text>
        <r>
          <rPr>
            <sz val="10"/>
            <rFont val="Arial"/>
            <family val="2"/>
          </rPr>
          <t xml:space="preserve">Recovery and workarounds untested; small team. Evidence: E3, E7</t>
        </r>
      </text>
    </comment>
    <comment ref="G6" authorId="0">
      <text>
        <r>
          <rPr>
            <sz val="10"/>
            <rFont val="Arial"/>
            <family val="2"/>
          </rPr>
          <t xml:space="preserve">No restore testing evidence. Evidence: E7</t>
        </r>
      </text>
    </comment>
    <comment ref="G7" authorId="0">
      <text>
        <r>
          <rPr>
            <sz val="10"/>
            <rFont val="Arial"/>
            <family val="2"/>
          </rPr>
          <t xml:space="preserve">Logging and detection uncertain. Evidence: E4</t>
        </r>
      </text>
    </comment>
    <comment ref="G8" authorId="0">
      <text>
        <r>
          <rPr>
            <sz val="10"/>
            <rFont val="Arial"/>
            <family val="2"/>
          </rPr>
          <t xml:space="preserve">Logs exist but not monitored. Evidence: E6</t>
        </r>
      </text>
    </comment>
    <comment ref="G9" authorId="0">
      <text>
        <r>
          <rPr>
            <sz val="10"/>
            <rFont val="Arial"/>
            <family val="2"/>
          </rPr>
          <t xml:space="preserve">Detection of implants uncertain. Evidence: E3</t>
        </r>
      </text>
    </comment>
    <comment ref="G10" authorId="0">
      <text>
        <r>
          <rPr>
            <sz val="10"/>
            <rFont val="Arial"/>
            <family val="2"/>
          </rPr>
          <t xml:space="preserve">No device monitoring or inventory evidence. Evidence: E4</t>
        </r>
      </text>
    </comment>
    <comment ref="G11" authorId="0">
      <text>
        <r>
          <rPr>
            <sz val="10"/>
            <rFont val="Arial"/>
            <family val="2"/>
          </rPr>
          <t xml:space="preserve">Detection and response are the weak capability itself. Evidence: E3</t>
        </r>
      </text>
    </comment>
    <comment ref="G12" authorId="0">
      <text>
        <r>
          <rPr>
            <sz val="10"/>
            <rFont val="Arial"/>
            <family val="2"/>
          </rPr>
          <t xml:space="preserve">Limited visibility into vendor activity. Evidence: E7</t>
        </r>
      </text>
    </comment>
    <comment ref="G13" authorId="0">
      <text>
        <r>
          <rPr>
            <sz val="10"/>
            <rFont val="Arial"/>
            <family val="2"/>
          </rPr>
          <t xml:space="preserve">Backups exist but integrity verification absent. Evidence: E2</t>
        </r>
      </text>
    </comment>
    <comment ref="G14" authorId="0">
      <text>
        <r>
          <rPr>
            <sz val="10"/>
            <rFont val="Arial"/>
            <family val="2"/>
          </rPr>
          <t xml:space="preserve">API monitoring not evidenced. Evidence: E7</t>
        </r>
      </text>
    </comment>
    <comment ref="G15" authorId="0">
      <text>
        <r>
          <rPr>
            <sz val="10"/>
            <rFont val="Arial"/>
            <family val="2"/>
          </rPr>
          <t xml:space="preserve">No clinic-level wireless monitoring evidenced. Evidence: E7</t>
        </r>
      </text>
    </comment>
    <comment ref="G16" authorId="0">
      <text>
        <r>
          <rPr>
            <sz val="10"/>
            <rFont val="Arial"/>
            <family val="2"/>
          </rPr>
          <t xml:space="preserve">Clinics can operate without online booking. Evidence: E1</t>
        </r>
      </text>
    </comment>
    <comment ref="G17" authorId="0">
      <text>
        <r>
          <rPr>
            <sz val="10"/>
            <rFont val="Arial"/>
            <family val="2"/>
          </rPr>
          <t xml:space="preserve">Bank recall possible if detected quickly. Evidence: E1</t>
        </r>
      </text>
    </comment>
    <comment ref="G18" authorId="0">
      <text>
        <r>
          <rPr>
            <sz val="10"/>
            <rFont val="Arial"/>
            <family val="2"/>
          </rPr>
          <t xml:space="preserve">Accounts can be revoked centrally. Evidence: E2</t>
        </r>
      </text>
    </comment>
    <comment ref="G19" authorId="0">
      <text>
        <r>
          <rPr>
            <sz val="10"/>
            <rFont val="Arial"/>
            <family val="2"/>
          </rPr>
          <t xml:space="preserve">No alternate site or tested downtime procedures. Evidence: E7</t>
        </r>
      </text>
    </comment>
    <comment ref="G20" authorId="0">
      <text>
        <r>
          <rPr>
            <sz val="10"/>
            <rFont val="Arial"/>
            <family val="2"/>
          </rPr>
          <t xml:space="preserve">No monitoring of local storage. Evidence: E4</t>
        </r>
      </text>
    </comment>
    <comment ref="G21" authorId="0">
      <text>
        <r>
          <rPr>
            <sz val="10"/>
            <rFont val="Arial"/>
            <family val="2"/>
          </rPr>
          <t xml:space="preserve">Application monitoring unknown. Evidence: E7</t>
        </r>
      </text>
    </comment>
    <comment ref="G22" authorId="0">
      <text>
        <r>
          <rPr>
            <sz val="10"/>
            <rFont val="Arial"/>
            <family val="2"/>
          </rPr>
          <t xml:space="preserve">Detection depends on external advisories. Evidence: E3</t>
        </r>
      </text>
    </comment>
    <comment ref="G23" authorId="0">
      <text>
        <r>
          <rPr>
            <sz val="10"/>
            <rFont val="Arial"/>
            <family val="2"/>
          </rPr>
          <t xml:space="preserve">Cloud logging uncertain. Evidence: E4</t>
        </r>
      </text>
    </comment>
    <comment ref="G24" authorId="0">
      <text>
        <r>
          <rPr>
            <sz val="10"/>
            <rFont val="Arial"/>
            <family val="2"/>
          </rPr>
          <t xml:space="preserve">Privacy function exists to respond. Evidence: E4</t>
        </r>
      </text>
    </comment>
    <comment ref="G25" authorId="0">
      <text>
        <r>
          <rPr>
            <sz val="10"/>
            <rFont val="Arial"/>
            <family val="2"/>
          </rPr>
          <t xml:space="preserve">Platform controls available if configured. Evidence: E2</t>
        </r>
      </text>
    </comment>
    <comment ref="G26" authorId="0">
      <text>
        <r>
          <rPr>
            <sz val="10"/>
            <rFont val="Arial"/>
            <family val="2"/>
          </rPr>
          <t xml:space="preserve">No attack-surface monitoring. Evidence: E4</t>
        </r>
      </text>
    </comment>
    <comment ref="G27" authorId="0">
      <text>
        <r>
          <rPr>
            <sz val="10"/>
            <rFont val="Arial"/>
            <family val="2"/>
          </rPr>
          <t xml:space="preserve">No device monitoring. Evidence: E4</t>
        </r>
      </text>
    </comment>
    <comment ref="G28" authorId="0">
      <text>
        <r>
          <rPr>
            <sz val="10"/>
            <rFont val="Arial"/>
            <family val="2"/>
          </rPr>
          <t xml:space="preserve">Contracts may impose vendor wiping (unknown). Evidence: E2</t>
        </r>
      </text>
    </comment>
    <comment ref="G29" authorId="0">
      <text>
        <r>
          <rPr>
            <sz val="10"/>
            <rFont val="Arial"/>
            <family val="2"/>
          </rPr>
          <t xml:space="preserve">No visibility of AI use. Evidence: E5</t>
        </r>
      </text>
    </comment>
    <comment ref="G30" authorId="0">
      <text>
        <r>
          <rPr>
            <sz val="10"/>
            <rFont val="Arial"/>
            <family val="2"/>
          </rPr>
          <t xml:space="preserve">MFA change not monitored. Evidence: E7</t>
        </r>
      </text>
    </comment>
    <comment ref="G31" authorId="0">
      <text>
        <r>
          <rPr>
            <sz val="10"/>
            <rFont val="Arial"/>
            <family val="2"/>
          </rPr>
          <t xml:space="preserve">Key-person dependency; no admin monitoring. Evidence: E3</t>
        </r>
      </text>
    </comment>
    <comment ref="G32" authorId="0">
      <text>
        <r>
          <rPr>
            <sz val="10"/>
            <rFont val="Arial"/>
            <family val="2"/>
          </rPr>
          <t xml:space="preserve">No integrity checks evidenced. Evidence: E2</t>
        </r>
      </text>
    </comment>
    <comment ref="G33" authorId="0">
      <text>
        <r>
          <rPr>
            <sz val="10"/>
            <rFont val="Arial"/>
            <family val="2"/>
          </rPr>
          <t xml:space="preserve">Takedown possible once detected. Evidence: E6</t>
        </r>
      </text>
    </comment>
    <comment ref="H4" authorId="0">
      <text>
        <r>
          <rPr>
            <sz val="10"/>
            <rFont val="Arial"/>
            <family val="2"/>
          </rPr>
          <t xml:space="preserve">Identity is the gateway to every crown jewel. Evidence: E2</t>
        </r>
      </text>
    </comment>
    <comment ref="H5" authorId="0">
      <text>
        <r>
          <rPr>
            <sz val="10"/>
            <rFont val="Arial"/>
            <family val="2"/>
          </rPr>
          <t xml:space="preserve">EHR and scheduling underpin care delivery. Evidence: E1</t>
        </r>
      </text>
    </comment>
    <comment ref="H6" authorId="0">
      <text>
        <r>
          <rPr>
            <sz val="10"/>
            <rFont val="Arial"/>
            <family val="2"/>
          </rPr>
          <t xml:space="preserve">Recoverability of every crown jewel depends on it. Evidence: E2</t>
        </r>
      </text>
    </comment>
    <comment ref="H7" authorId="0">
      <text>
        <r>
          <rPr>
            <sz val="10"/>
            <rFont val="Arial"/>
            <family val="2"/>
          </rPr>
          <t xml:space="preserve">Important but not essential to same-day care. Evidence: E2</t>
        </r>
      </text>
    </comment>
    <comment ref="H8" authorId="0">
      <text>
        <r>
          <rPr>
            <sz val="10"/>
            <rFont val="Arial"/>
            <family val="2"/>
          </rPr>
          <t xml:space="preserve">EHR confidentiality is core to trust. Evidence: E5</t>
        </r>
      </text>
    </comment>
    <comment ref="H9" authorId="0">
      <text>
        <r>
          <rPr>
            <sz val="10"/>
            <rFont val="Arial"/>
            <family val="2"/>
          </rPr>
          <t xml:space="preserve">Remote access and perimeter serve all clinics. Evidence: E2</t>
        </r>
      </text>
    </comment>
    <comment ref="H10" authorId="0">
      <text>
        <r>
          <rPr>
            <sz val="10"/>
            <rFont val="Arial"/>
            <family val="2"/>
          </rPr>
          <t xml:space="preserve">Direct link to patient safety. Evidence: E5</t>
        </r>
      </text>
    </comment>
    <comment ref="H11" authorId="0">
      <text>
        <r>
          <rPr>
            <sz val="10"/>
            <rFont val="Arial"/>
            <family val="2"/>
          </rPr>
          <t xml:space="preserve">Response capacity protects every service. Evidence: E1</t>
        </r>
      </text>
    </comment>
    <comment ref="H12" authorId="0">
      <text>
        <r>
          <rPr>
            <sz val="10"/>
            <rFont val="Arial"/>
            <family val="2"/>
          </rPr>
          <t xml:space="preserve">Vendors support crown-jewel systems. Evidence: E2</t>
        </r>
      </text>
    </comment>
    <comment ref="H13" authorId="0">
      <text>
        <r>
          <rPr>
            <sz val="10"/>
            <rFont val="Arial"/>
            <family val="2"/>
          </rPr>
          <t xml:space="preserve">Clinical record integrity underpins safe care. Evidence: E1</t>
        </r>
      </text>
    </comment>
    <comment ref="H14" authorId="0">
      <text>
        <r>
          <rPr>
            <sz val="10"/>
            <rFont val="Arial"/>
            <family val="2"/>
          </rPr>
          <t xml:space="preserve">Integrations support EHR and image exchange. Evidence: E2</t>
        </r>
      </text>
    </comment>
    <comment ref="H15" authorId="0">
      <text>
        <r>
          <rPr>
            <sz val="10"/>
            <rFont val="Arial"/>
            <family val="2"/>
          </rPr>
          <t xml:space="preserve">Clinic networks carry point-of-care EHR access. Evidence: E1</t>
        </r>
      </text>
    </comment>
    <comment ref="H16" authorId="0">
      <text>
        <r>
          <rPr>
            <sz val="10"/>
            <rFont val="Arial"/>
            <family val="2"/>
          </rPr>
          <t xml:space="preserve">Online services useful but not essential to care. Evidence: E8</t>
        </r>
      </text>
    </comment>
    <comment ref="H17" authorId="0">
      <text>
        <r>
          <rPr>
            <sz val="10"/>
            <rFont val="Arial"/>
            <family val="2"/>
          </rPr>
          <t xml:space="preserve">Financial, not clinical, process. Evidence: E1</t>
        </r>
      </text>
    </comment>
    <comment ref="H18" authorId="0">
      <text>
        <r>
          <rPr>
            <sz val="10"/>
            <rFont val="Arial"/>
            <family val="2"/>
          </rPr>
          <t xml:space="preserve">Supports but is not essential to care. Evidence: E2</t>
        </r>
      </text>
    </comment>
    <comment ref="H19" authorId="0">
      <text>
        <r>
          <rPr>
            <sz val="10"/>
            <rFont val="Arial"/>
            <family val="2"/>
          </rPr>
          <t xml:space="preserve">Hub serves every clinic. Evidence: E2</t>
        </r>
      </text>
    </comment>
    <comment ref="H20" authorId="0">
      <text>
        <r>
          <rPr>
            <sz val="10"/>
            <rFont val="Arial"/>
            <family val="2"/>
          </rPr>
          <t xml:space="preserve">Supports clinic operations. Evidence: E2</t>
        </r>
      </text>
    </comment>
    <comment ref="H21" authorId="0">
      <text>
        <r>
          <rPr>
            <sz val="10"/>
            <rFont val="Arial"/>
            <family val="2"/>
          </rPr>
          <t xml:space="preserve">Patient-facing and trust-critical. Evidence: E8</t>
        </r>
      </text>
    </comment>
    <comment ref="H22" authorId="0">
      <text>
        <r>
          <rPr>
            <sz val="10"/>
            <rFont val="Arial"/>
            <family val="2"/>
          </rPr>
          <t xml:space="preserve">May affect crown-jewel software. Evidence: E2</t>
        </r>
      </text>
    </comment>
    <comment ref="H23" authorId="0">
      <text>
        <r>
          <rPr>
            <sz val="10"/>
            <rFont val="Arial"/>
            <family val="2"/>
          </rPr>
          <t xml:space="preserve">Cloud identity underpins remote access. Evidence: E2</t>
        </r>
      </text>
    </comment>
    <comment ref="H24" authorId="0">
      <text>
        <r>
          <rPr>
            <sz val="10"/>
            <rFont val="Arial"/>
            <family val="2"/>
          </rPr>
          <t xml:space="preserve">Routine communication processes. Evidence: E1</t>
        </r>
      </text>
    </comment>
    <comment ref="H25" authorId="0">
      <text>
        <r>
          <rPr>
            <sz val="10"/>
            <rFont val="Arial"/>
            <family val="2"/>
          </rPr>
          <t xml:space="preserve">Supports but is not core to most care. Evidence: E2</t>
        </r>
      </text>
    </comment>
    <comment ref="H26" authorId="0">
      <text>
        <r>
          <rPr>
            <sz val="10"/>
            <rFont val="Arial"/>
            <family val="2"/>
          </rPr>
          <t xml:space="preserve">Infrastructure hosts crown jewels. Evidence: E2</t>
        </r>
      </text>
    </comment>
    <comment ref="H27" authorId="0">
      <text>
        <r>
          <rPr>
            <sz val="10"/>
            <rFont val="Arial"/>
            <family val="2"/>
          </rPr>
          <t xml:space="preserve">Imaging is a core diagnostic service. Evidence: E1</t>
        </r>
      </text>
    </comment>
    <comment ref="H28" authorId="0">
      <text>
        <r>
          <rPr>
            <sz val="10"/>
            <rFont val="Arial"/>
            <family val="2"/>
          </rPr>
          <t xml:space="preserve">Lifecycle process. Evidence: E2</t>
        </r>
      </text>
    </comment>
    <comment ref="H29" authorId="0">
      <text>
        <r>
          <rPr>
            <sz val="10"/>
            <rFont val="Arial"/>
            <family val="2"/>
          </rPr>
          <t xml:space="preserve">Clinical documentation. Evidence: E1</t>
        </r>
      </text>
    </comment>
    <comment ref="H30" authorId="0">
      <text>
        <r>
          <rPr>
            <sz val="10"/>
            <rFont val="Arial"/>
            <family val="2"/>
          </rPr>
          <t xml:space="preserve">Identity gateway. Evidence: E2</t>
        </r>
      </text>
    </comment>
    <comment ref="H31" authorId="0">
      <text>
        <r>
          <rPr>
            <sz val="10"/>
            <rFont val="Arial"/>
            <family val="2"/>
          </rPr>
          <t xml:space="preserve">Infrastructure-wide. Evidence: E2</t>
        </r>
      </text>
    </comment>
    <comment ref="H32" authorId="0">
      <text>
        <r>
          <rPr>
            <sz val="10"/>
            <rFont val="Arial"/>
            <family val="2"/>
          </rPr>
          <t xml:space="preserve">Lab and pharmacy data drive treatment. Evidence: E1</t>
        </r>
      </text>
    </comment>
    <comment ref="H33" authorId="0">
      <text>
        <r>
          <rPr>
            <sz val="10"/>
            <rFont val="Arial"/>
            <family val="2"/>
          </rPr>
          <t xml:space="preserve">Trust and patient communications. Evidence: E5</t>
        </r>
      </text>
    </comment>
    <comment ref="J4" authorId="0">
      <text>
        <r>
          <rPr>
            <sz val="10"/>
            <rFont val="Arial"/>
            <family val="2"/>
          </rPr>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r>
      </text>
    </comment>
    <comment ref="J5" authorId="0">
      <text>
        <r>
          <rPr>
            <sz val="10"/>
            <rFont val="Arial"/>
            <family val="2"/>
          </rPr>
          <t xml:space="preserve">Representative weakness: malicious macro document leading to code execution (initial vector in E6). AV:L: the document is delivered by e-mail but opened and executed locally on the workstation (FIRST CVSS v4.0 user guide scores malicious documents as Local whatever the delivery channel); AC:L; AT:N; PR:N; UI:P user opens the document; VC/VI/VA:H on the workstation; SC/SI/SA:H because EHR and clinic systems are subsequently affected. CVSS describes the entry weakness only, not the enterprise impa</t>
        </r>
      </text>
    </comment>
    <comment ref="J6" authorId="0">
      <text>
        <r>
          <rPr>
            <sz val="10"/>
            <rFont val="Arial"/>
            <family val="2"/>
          </rPr>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r>
      </text>
    </comment>
    <comment ref="J7" authorId="0">
      <text>
        <r>
          <rPr>
            <sz val="10"/>
            <rFont val="Arial"/>
            <family val="2"/>
          </rPr>
          <t xml:space="preserve">Representative weakness: storage object accessible without authentication (CWE-284 misconfiguration). AV:N, AC:L, AT:N, PR:N, UI:N; confidentiality only (VC:H).</t>
        </r>
      </text>
    </comment>
    <comment ref="J8" authorId="0">
      <text>
        <r>
          <rPr>
            <sz val="10"/>
            <rFont val="Arial"/>
            <family val="2"/>
          </rPr>
          <t xml:space="preserve">Limited applicability: insider misuse is not a software vulnerability. Representative weakness used for the workbook: excessive privileges on an authenticated account (CWE-269). PR:L legitimate low-privilege access; VC:H bulk read; VI:L. Interpret with caution.</t>
        </r>
      </text>
    </comment>
    <comment ref="J9" authorId="0">
      <text>
        <r>
          <rPr>
            <sz val="10"/>
            <rFont val="Arial"/>
            <family val="2"/>
          </rPr>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r>
      </text>
    </comment>
    <comment ref="J10" authorId="0">
      <text>
        <r>
          <rPr>
            <sz val="10"/>
            <rFont val="Arial"/>
            <family val="2"/>
          </rPr>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r>
      </text>
    </comment>
    <comment ref="J11" authorId="0">
      <text>
        <r>
          <rPr>
            <sz val="10"/>
            <rFont val="Arial"/>
            <family val="2"/>
          </rPr>
          <t xml:space="preserve">Limited applicability: a detection gap is a control weakness, not a vulnerability. Representative weakness for the workbook: the undetected initial code-execution vector (macro/PowerShell, E6), scored AV:L because the e-mailed document is opened and executed locally (FIRST CVSS v4.0 user guide). Do not interpret the score as the severity of the detection gap.</t>
        </r>
      </text>
    </comment>
    <comment ref="J12" authorId="0">
      <text>
        <r>
          <rPr>
            <sz val="10"/>
            <rFont val="Arial"/>
            <family val="2"/>
          </rPr>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r>
      </text>
    </comment>
    <comment ref="J13" authorId="0">
      <text>
        <r>
          <rPr>
            <sz val="10"/>
            <rFont val="Arial"/>
            <family val="2"/>
          </rPr>
          <t xml:space="preserve">Representative weakness: authenticated user able to modify records beyond need (improper authorization, CWE-285). PR:L; VI:H; SI:H because pharmacy/lab downstream systems consume the altered data.</t>
        </r>
      </text>
    </comment>
    <comment ref="J14" authorId="0">
      <text>
        <r>
          <rPr>
            <sz val="10"/>
            <rFont val="Arial"/>
            <family val="2"/>
          </rPr>
          <t xml:space="preserve">Representative weakness: hard-coded credential (CWE-798). AT:P the attacker must first obtain the leaked secret; PR:N once held, no further privileges needed; VC:H data access; VI:L limited write scope.</t>
        </r>
      </text>
    </comment>
    <comment ref="J15" authorId="0">
      <text>
        <r>
          <rPr>
            <sz val="10"/>
            <rFont val="Arial"/>
            <family val="2"/>
          </rPr>
          <t xml:space="preserve">Representative weakness: weak wireless authentication with guest-to-internal routing. AV:A adjacent (radio range); VC/VI:L on the WLAN itself; SC:H clinical systems reachable behind it.</t>
        </r>
      </text>
    </comment>
    <comment ref="J16" authorId="0">
      <text>
        <r>
          <rPr>
            <sz val="10"/>
            <rFont val="Arial"/>
            <family val="2"/>
          </rPr>
          <t xml:space="preserve">Limited applicability: volumetric DDoS exploits capacity, not a software flaw. Representative weakness: service without rate limiting or upstream mitigation (CWE-770). Availability only.</t>
        </r>
      </text>
    </comment>
    <comment ref="J17" authorId="0">
      <text>
        <r>
          <rPr>
            <sz val="10"/>
            <rFont val="Arial"/>
            <family val="2"/>
          </rPr>
          <t xml:space="preserve">Limited applicability: payment fraud is a process weakness. Representative weakness: spoofable sender domain without enforced DMARC. UI:A staff must act on the instruction; VI:L data changed. The low score understates business impact - rely on damage estimates.</t>
        </r>
      </text>
    </comment>
    <comment ref="J18" authorId="0">
      <text>
        <r>
          <rPr>
            <sz val="10"/>
            <rFont val="Arial"/>
            <family val="2"/>
          </rPr>
          <t xml:space="preserve">Representative weakness: missing encryption of sensitive data at rest on the device (CWE-311). AV:P physical possession required; confidentiality only.</t>
        </r>
      </text>
    </comment>
    <comment ref="J19" authorId="0">
      <text>
        <r>
          <rPr>
            <sz val="10"/>
            <rFont val="Arial"/>
            <family val="2"/>
          </rPr>
          <t xml:space="preserve">Limited applicability: architectural dependency, largely non-malicious. Representative weakness: denial of service against a single edge device with no redundancy (AT:P specific conditions); VA:H and SA:H for downstream systems.</t>
        </r>
      </text>
    </comment>
    <comment ref="J20" authorId="0">
      <text>
        <r>
          <rPr>
            <sz val="10"/>
            <rFont val="Arial"/>
            <family val="2"/>
          </rPr>
          <t xml:space="preserve">Representative weakness: incorrect default permissions on network shares (CWE-276). AV:A clinic network; PR:L any domain user.</t>
        </r>
      </text>
    </comment>
    <comment ref="J21" authorId="0">
      <text>
        <r>
          <rPr>
            <sz val="10"/>
            <rFont val="Arial"/>
            <family val="2"/>
          </rPr>
          <t xml:space="preserve">Representative weakness: authorization bypass through user-controlled key (CWE-639). PR:L any patient account; VC:H cross-patient data.</t>
        </r>
      </text>
    </comment>
    <comment ref="J22" authorId="0">
      <text>
        <r>
          <rPr>
            <sz val="10"/>
            <rFont val="Arial"/>
            <family val="2"/>
          </rPr>
          <t xml:space="preserve">Limited applicability: supplier compromise. Representative weakness: download of code without integrity check (CWE-494). AC:H and AT:P - the supplier's pipeline must be compromised first.</t>
        </r>
      </text>
    </comment>
    <comment ref="J23" authorId="0">
      <text>
        <r>
          <rPr>
            <sz val="10"/>
            <rFont val="Arial"/>
            <family val="2"/>
          </rPr>
          <t xml:space="preserve">Representative weakness: session token not bound to device, reusable after MFA (CWE-294-type). UI:A admin must interact with the lure; all impacts High because the control plane governs subsequent systems.</t>
        </r>
      </text>
    </comment>
    <comment ref="J24" authorId="0">
      <text>
        <r>
          <rPr>
            <sz val="10"/>
            <rFont val="Arial"/>
            <family val="2"/>
          </rPr>
          <t xml:space="preserve">Limited applicability: human error. Representative weakness: absence of outbound data-loss safeguards for an authenticated user. The score is low by design; business impact is captured in damage estimates.</t>
        </r>
      </text>
    </comment>
    <comment ref="J25" authorId="0">
      <text>
        <r>
          <rPr>
            <sz val="10"/>
            <rFont val="Arial"/>
            <family val="2"/>
          </rPr>
          <t xml:space="preserve">Representative weakness: missing authentication for a meeting resource (CWE-306). AT:P attacker must obtain the link.</t>
        </r>
      </text>
    </comment>
    <comment ref="J26" authorId="0">
      <text>
        <r>
          <rPr>
            <sz val="10"/>
            <rFont val="Arial"/>
            <family val="2"/>
          </rPr>
          <t xml:space="preserve">Representative weakness: exposed management interface with weak or default credentials (CWE-1392/521). AT:P - success depends on a guessable credential.</t>
        </r>
      </text>
    </comment>
    <comment ref="J27" authorId="0">
      <text>
        <r>
          <rPr>
            <sz val="10"/>
            <rFont val="Arial"/>
            <family val="2"/>
          </rPr>
          <t xml:space="preserve">Representative weakness: automatic execution of content from removable media. AV:P media inserted physically; UI:P staff loads it.</t>
        </r>
      </text>
    </comment>
    <comment ref="J28" authorId="0">
      <text>
        <r>
          <rPr>
            <sz val="10"/>
            <rFont val="Arial"/>
            <family val="2"/>
          </rPr>
          <t xml:space="preserve">Representative weakness: sensitive information in resource not removed before reuse (CWE-226). AV:P physical possession.</t>
        </r>
      </text>
    </comment>
    <comment ref="J29" authorId="0">
      <text>
        <r>
          <rPr>
            <sz val="10"/>
            <rFont val="Arial"/>
            <family val="2"/>
          </rPr>
          <t xml:space="preserve">Limited applicability: policy and data-governance gap. Representative weakness: exposure of sensitive information to an unauthorized actor via unrestricted egress (CWE-200). AT:P - harm depends on provider retention.</t>
        </r>
      </text>
    </comment>
    <comment ref="J30" authorId="0">
      <text>
        <r>
          <rPr>
            <sz val="10"/>
            <rFont val="Arial"/>
            <family val="2"/>
          </rPr>
          <t xml:space="preserve">Limited applicability: process weakness. Representative weakness: weak authentication of the account-recovery process (CWE-640). UI:A help-desk agent acts.</t>
        </r>
      </text>
    </comment>
    <comment ref="J31" authorId="0">
      <text>
        <r>
          <rPr>
            <sz val="10"/>
            <rFont val="Arial"/>
            <family val="2"/>
          </rPr>
          <t xml:space="preserve">Limited applicability: insider abuse of legitimate privileges. Representative weakness: excessive standing privileges (CWE-250). PR:H administrator.</t>
        </r>
      </text>
    </comment>
    <comment ref="J32" authorId="0">
      <text>
        <r>
          <rPr>
            <sz val="10"/>
            <rFont val="Arial"/>
            <family val="2"/>
          </rPr>
          <t xml:space="preserve">Representative weakness: cleartext transmission of sensitive information (CWE-319) without integrity check (CWE-353). AV:A adjacent; AT:P attacker must be on path; SI:H downstream EHR.</t>
        </r>
      </text>
    </comment>
    <comment ref="J33" authorId="0">
      <text>
        <r>
          <rPr>
            <sz val="10"/>
            <rFont val="Arial"/>
            <family val="2"/>
          </rPr>
          <t xml:space="preserve">Limited applicability: impersonation outside MediBec's systems. Representative weakness: sender domain spoofable without enforced DMARC. Business impact is captured by damage estimates, not CVSS.</t>
        </r>
      </text>
    </comment>
  </commentList>
</comments>
</file>

<file path=xl/sharedStrings.xml><?xml version="1.0" encoding="utf-8"?>
<sst xmlns="http://schemas.openxmlformats.org/spreadsheetml/2006/main" count="1792" uniqueCount="1153">
  <si>
    <t xml:space="preserve">MediBec - CyberRiskGuardian Risk Assessment Workbook</t>
  </si>
  <si>
    <t xml:space="preserve">Assessment period: next 12 months (October 2026 - September 2027). Currency: CAD. Cost basis: Year-1 = initial implementation + first-year recurring.</t>
  </si>
  <si>
    <t xml:space="preserve">30-scenario assessment (S1-S10 carried over unchanged from the 10-scenario assessment; S11-S30 added). Source: MediBec Business Case v2.0b (fictional teaching case, M.-A. Leger) and CyberRiskGuardian Excel Guide v1.0c formulas.</t>
  </si>
  <si>
    <t xml:space="preserve">All parameter values, CVSS vectors, costs and reductions are analytical estimates (Analytical estimate — validation required). Scores are relative decision-support indicators, not loss predictions.</t>
  </si>
  <si>
    <t xml:space="preserve">Colour legend:  blue text = input you may edit  |  black = formula  |  green = link to another sheet  |  yellow fill = key assumption.</t>
  </si>
  <si>
    <t xml:space="preserve">Sheets:</t>
  </si>
  <si>
    <t xml:space="preserve">  Parameters  - risk appetite, multiplication factor, tolerance band (edit here).</t>
  </si>
  <si>
    <t xml:space="preserve">  Inputs      - S1-S30 quantitative parameters, CVSS v4.0 vector/score, reductions, confidence.</t>
  </si>
  <si>
    <t xml:space="preserve">  Analyse     - estimated, tolerated, mitigated, residual risk, ratio, classification, cost-effectiveness (live formulas).</t>
  </si>
  <si>
    <t xml:space="preserve">  Portfolio   - 23 initiatives, costs and scenario mapping; shared costs split equally across scenarios addressed (no double-counting).</t>
  </si>
  <si>
    <t xml:space="preserve">  Sensitivity - lower / central / higher cases for ten key scenarios (all parameters shifted by +/- delta).</t>
  </si>
  <si>
    <t xml:space="preserve">  Case_View   - case-native escalation view (s.8 of the case): T x E x I x (1 - C), with the 0.25 / 0.40 escalation thresholds.</t>
  </si>
  <si>
    <t xml:space="preserve">  Candidates, Scenarios, KRIs, Evidence - supporting registers.</t>
  </si>
  <si>
    <t xml:space="preserve">Formulas (Excel Guide v1.0c, s.11):</t>
  </si>
  <si>
    <t xml:space="preserve">  Estimated = Pb(A) x Pb(psi,A) x CVSS x ((de + dm)/2) x mu(E) / theta x Factor</t>
  </si>
  <si>
    <t xml:space="preserve">  Tolerated = Pb(A) x Pb(psi,A) x CVSS x Appetite x mu(E) / theta x Factor</t>
  </si>
  <si>
    <t xml:space="preserve">  Mitigated = Estimated x ProbabilityReduction x ImpactReduction ;  Residual = Estimated - Mitigated</t>
  </si>
  <si>
    <t xml:space="preserve">  Ratio = Residual / Tolerated ;  Cost-effectiveness = (Estimated - Residual) / Cost x 1000</t>
  </si>
  <si>
    <t xml:space="preserve">Note: the template computes Residual as ABS(L - R). Because both reductions are kept within 0-1, L - R is always &gt;= 0 and the two are identical; a validity check column is included.</t>
  </si>
  <si>
    <t xml:space="preserve">How to use: change blue cells on Parameters / Inputs / Portfolio, then recalculate (Formulas &gt; Calculate Now if manual).</t>
  </si>
  <si>
    <t xml:space="preserve">Analyse - CyberRiskGuardian risk indices (Excel Guide v1.0c formulas)</t>
  </si>
  <si>
    <t xml:space="preserve">Green = linked from Inputs / Portfolio / Parameters; black = formula.</t>
  </si>
  <si>
    <t xml:space="preserve">ID</t>
  </si>
  <si>
    <t xml:space="preserve">Scenario</t>
  </si>
  <si>
    <t xml:space="preserve">Pb(A)</t>
  </si>
  <si>
    <t xml:space="preserve">Pb(psi,A)</t>
  </si>
  <si>
    <t xml:space="preserve">CVSS-B</t>
  </si>
  <si>
    <t xml:space="preserve">de</t>
  </si>
  <si>
    <t xml:space="preserve">dm</t>
  </si>
  <si>
    <t xml:space="preserve">mu(E)</t>
  </si>
  <si>
    <t xml:space="preserve">theta</t>
  </si>
  <si>
    <t xml:space="preserve">Appetite</t>
  </si>
  <si>
    <t xml:space="preserve">Factor</t>
  </si>
  <si>
    <t xml:space="preserve">Estimated risk</t>
  </si>
  <si>
    <t xml:space="preserve">Tolerated risk</t>
  </si>
  <si>
    <t xml:space="preserve">Pre-treatment ratio</t>
  </si>
  <si>
    <t xml:space="preserve">Allocated Y1 cost</t>
  </si>
  <si>
    <t xml:space="preserve">Prob. reduction</t>
  </si>
  <si>
    <t xml:space="preserve">Impact reduction</t>
  </si>
  <si>
    <t xml:space="preserve">Mitigated</t>
  </si>
  <si>
    <t xml:space="preserve">Residual</t>
  </si>
  <si>
    <t xml:space="preserve">Residual / Tolerated</t>
  </si>
  <si>
    <t xml:space="preserve">Classification</t>
  </si>
  <si>
    <t xml:space="preserve">Cost-effectiveness (per $1k)</t>
  </si>
  <si>
    <t xml:space="preserve">Validity (P,Q in 0-1)</t>
  </si>
  <si>
    <t xml:space="preserve">Portfolio totals</t>
  </si>
  <si>
    <t xml:space="preserve">Interpretation: Residual/Tolerated simplifies to ((de+dm)/2) x (1 - P x Q) / Appetite - CVSS, probabilities, resilience and criticality scale magnitude (ranking) but cancel out of the tolerance test.</t>
  </si>
  <si>
    <t xml:space="preserve">Global parameters</t>
  </si>
  <si>
    <t xml:space="preserve">Parameter</t>
  </si>
  <si>
    <t xml:space="preserve">Value</t>
  </si>
  <si>
    <t xml:space="preserve">Source / note</t>
  </si>
  <si>
    <t xml:space="preserve">Risk appetite (analytical estimate)</t>
  </si>
  <si>
    <t xml:space="preserve">Analytical estimate — validation required. Case states 0.40 normalized tolerance; see report s.4.</t>
  </si>
  <si>
    <t xml:space="preserve">Multiplication factor</t>
  </si>
  <si>
    <t xml:space="preserve">Constant across all scenarios (Excel Guide worked example).</t>
  </si>
  <si>
    <t xml:space="preserve">Tolerance band - lower bound of 'approximately at'</t>
  </si>
  <si>
    <t xml:space="preserve">Ratio &lt; this = below tolerance</t>
  </si>
  <si>
    <t xml:space="preserve">Tolerance band - upper bound of 'approximately at'</t>
  </si>
  <si>
    <t xml:space="preserve">Ratio &gt; this = above tolerance</t>
  </si>
  <si>
    <t xml:space="preserve">Case appetite (for comparison)</t>
  </si>
  <si>
    <t xml:space="preserve">Business case s.8</t>
  </si>
  <si>
    <t xml:space="preserve">Sensitivity delta</t>
  </si>
  <si>
    <t xml:space="preserve">Shift applied in Sensitivity sheet</t>
  </si>
  <si>
    <t xml:space="preserve">Case escalation - executive review threshold</t>
  </si>
  <si>
    <t xml:space="preserve">Case escalation - Board acceptance threshold</t>
  </si>
  <si>
    <t xml:space="preserve">Scenario inputs (0-1 scale unless stated) - Analytical estimate — validation required</t>
  </si>
  <si>
    <t xml:space="preserve">CVSS v4.0 vector</t>
  </si>
  <si>
    <t xml:space="preserve">Conf Pb(A)</t>
  </si>
  <si>
    <t xml:space="preserve">Conf Pb(psi,A)</t>
  </si>
  <si>
    <t xml:space="preserve">Conf de</t>
  </si>
  <si>
    <t xml:space="preserve">Conf dm</t>
  </si>
  <si>
    <t xml:space="preserve">Conf theta</t>
  </si>
  <si>
    <t xml:space="preserve">Conf mu</t>
  </si>
  <si>
    <t xml:space="preserve">S1</t>
  </si>
  <si>
    <t xml:space="preserve">Credential compromise of clinical administrator accounts through phishing and MFA fatigue</t>
  </si>
  <si>
    <t xml:space="preserve">CVSS:4.0/AV:N/AC:L/AT:N/PR:N/UI:A/VC:H/VI:H/VA:N/SC:H/SI:L/SA:L</t>
  </si>
  <si>
    <t xml:space="preserve">Medium</t>
  </si>
  <si>
    <t xml:space="preserve">Low</t>
  </si>
  <si>
    <t xml:space="preserve">High</t>
  </si>
  <si>
    <t xml:space="preserve">S2</t>
  </si>
  <si>
    <t xml:space="preserve">Ransomware disrupting EHR access and clinic operations across the network</t>
  </si>
  <si>
    <t xml:space="preserve">CVSS:4.0/AV:L/AC:L/AT:N/PR:N/UI:P/VC:H/VI:H/VA:H/SC:H/SI:H/SA:H</t>
  </si>
  <si>
    <t xml:space="preserve">S3</t>
  </si>
  <si>
    <t xml:space="preserve">Backup environment compromised, preventing recovery after a destructive attack</t>
  </si>
  <si>
    <t xml:space="preserve">CVSS:4.0/AV:N/AC:L/AT:N/PR:H/UI:N/VC:H/VI:H/VA:H/SC:N/SI:N/SA:H</t>
  </si>
  <si>
    <t xml:space="preserve">S4</t>
  </si>
  <si>
    <t xml:space="preserve">Cloud medical-image transfer storage exposed, enabling bulk health-data exfiltration</t>
  </si>
  <si>
    <t xml:space="preserve">CVSS:4.0/AV:N/AC:L/AT:N/PR:N/UI:N/VC:H/VI:N/VA:N/SC:N/SI:N/SA:N</t>
  </si>
  <si>
    <t xml:space="preserve">S5</t>
  </si>
  <si>
    <t xml:space="preserve">Misuse of legitimate clinical, privileged or service-account access to extract patient records</t>
  </si>
  <si>
    <t xml:space="preserve">CVSS:4.0/AV:N/AC:L/AT:N/PR:L/UI:N/VC:H/VI:L/VA:N/SC:N/SI:N/SA:N</t>
  </si>
  <si>
    <t xml:space="preserve">S6</t>
  </si>
  <si>
    <t xml:space="preserve">Exploitation of unpatched internet-facing or end-of-life systems</t>
  </si>
  <si>
    <t xml:space="preserve">CVSS:4.0/AV:N/AC:L/AT:N/PR:N/UI:N/VC:H/VI:H/VA:H/SC:H/SI:H/SA:H</t>
  </si>
  <si>
    <t xml:space="preserve">S7</t>
  </si>
  <si>
    <t xml:space="preserve">Connected medical device used as a foothold to disrupt clinical equipment and reach the EHR network</t>
  </si>
  <si>
    <t xml:space="preserve">CVSS:4.0/AV:A/AC:L/AT:N/PR:N/UI:N/VC:H/VI:H/VA:H/SC:L/SI:L/SA:L</t>
  </si>
  <si>
    <t xml:space="preserve">S8</t>
  </si>
  <si>
    <t xml:space="preserve">Detection and response gaps allow an intrusion to persist and escalate</t>
  </si>
  <si>
    <t xml:space="preserve">CVSS:4.0/AV:L/AC:L/AT:N/PR:N/UI:P/VC:H/VI:H/VA:L/SC:H/SI:L/SA:L</t>
  </si>
  <si>
    <t xml:space="preserve">S9</t>
  </si>
  <si>
    <t xml:space="preserve">Compromise of a critical vendor with remote access to MediBec systems</t>
  </si>
  <si>
    <t xml:space="preserve">CVSS:4.0/AV:N/AC:L/AT:P/PR:L/UI:N/VC:H/VI:H/VA:H/SC:H/SI:H/SA:H</t>
  </si>
  <si>
    <t xml:space="preserve">S10</t>
  </si>
  <si>
    <t xml:space="preserve">Manipulation of patient, medication or billing records undermining clinical decisions</t>
  </si>
  <si>
    <t xml:space="preserve">CVSS:4.0/AV:N/AC:L/AT:N/PR:L/UI:N/VC:L/VI:H/VA:N/SC:N/SI:H/SA:N</t>
  </si>
  <si>
    <t xml:space="preserve">S11</t>
  </si>
  <si>
    <t xml:space="preserve">API key or secret exposed in code, logs or configuration enables direct data access</t>
  </si>
  <si>
    <t xml:space="preserve">CVSS:4.0/AV:N/AC:L/AT:P/PR:N/UI:N/VC:H/VI:L/VA:N/SC:N/SI:N/SA:N</t>
  </si>
  <si>
    <t xml:space="preserve">S12</t>
  </si>
  <si>
    <t xml:space="preserve">Clinic Wi-Fi compromise or rogue access point gives access to the clinical network</t>
  </si>
  <si>
    <t xml:space="preserve">CVSS:4.0/AV:A/AC:L/AT:N/PR:N/UI:N/VC:L/VI:L/VA:N/SC:H/SI:L/SA:L</t>
  </si>
  <si>
    <t xml:space="preserve">S13</t>
  </si>
  <si>
    <t xml:space="preserve">DDoS attack disrupts online booking, patient portal and communications</t>
  </si>
  <si>
    <t xml:space="preserve">CVSS:4.0/AV:N/AC:L/AT:N/PR:N/UI:N/VC:N/VI:N/VA:H/SC:N/SI:N/SA:N</t>
  </si>
  <si>
    <t xml:space="preserve">S14</t>
  </si>
  <si>
    <t xml:space="preserve">Business e-mail compromise diverts vendor or billing payments</t>
  </si>
  <si>
    <t xml:space="preserve">CVSS:4.0/AV:N/AC:L/AT:N/PR:N/UI:A/VC:N/VI:L/VA:N/SC:N/SI:N/SA:N</t>
  </si>
  <si>
    <t xml:space="preserve">S15</t>
  </si>
  <si>
    <t xml:space="preserve">Lost or stolen tablet or handheld exposes patient data</t>
  </si>
  <si>
    <t xml:space="preserve">CVSS:4.0/AV:P/AC:L/AT:N/PR:N/UI:N/VC:H/VI:N/VA:N/SC:N/SI:N/SA:N</t>
  </si>
  <si>
    <t xml:space="preserve">S16</t>
  </si>
  <si>
    <t xml:space="preserve">Loss of the Montreal hub or WAN isolates clinics from central clinical systems</t>
  </si>
  <si>
    <t xml:space="preserve">CVSS:4.0/AV:N/AC:L/AT:P/PR:N/UI:N/VC:N/VI:N/VA:H/SC:N/SI:N/SA:H</t>
  </si>
  <si>
    <t xml:space="preserve">S17</t>
  </si>
  <si>
    <t xml:space="preserve">Unmanaged patient data on local clinic storage is exposed or lost</t>
  </si>
  <si>
    <t xml:space="preserve">CVSS:4.0/AV:A/AC:L/AT:N/PR:L/UI:N/VC:H/VI:L/VA:L/SC:N/SI:N/SA:N</t>
  </si>
  <si>
    <t xml:space="preserve">S18</t>
  </si>
  <si>
    <t xml:space="preserve">Web application flaw in the patient portal exposes other patients' records</t>
  </si>
  <si>
    <t xml:space="preserve">S19</t>
  </si>
  <si>
    <t xml:space="preserve">Trojanized software update from a clinical or IT software supplier</t>
  </si>
  <si>
    <t xml:space="preserve">CVSS:4.0/AV:N/AC:H/AT:P/PR:N/UI:N/VC:H/VI:H/VA:H/SC:H/SI:H/SA:H</t>
  </si>
  <si>
    <t xml:space="preserve">S20</t>
  </si>
  <si>
    <t xml:space="preserve">Takeover of cloud tenant administration through token theft or malicious app consent</t>
  </si>
  <si>
    <t xml:space="preserve">CVSS:4.0/AV:N/AC:L/AT:N/PR:N/UI:A/VC:H/VI:H/VA:H/SC:H/SI:H/SA:H</t>
  </si>
  <si>
    <t xml:space="preserve">S21</t>
  </si>
  <si>
    <t xml:space="preserve">Accidental disclosure of patient information by staff</t>
  </si>
  <si>
    <t xml:space="preserve">CVSS:4.0/AV:N/AC:L/AT:N/PR:L/UI:A/VC:L/VI:N/VA:N/SC:N/SI:N/SA:N</t>
  </si>
  <si>
    <t xml:space="preserve">S22</t>
  </si>
  <si>
    <t xml:space="preserve">Interception or exposure of teleconsultations and clinical messaging</t>
  </si>
  <si>
    <t xml:space="preserve">CVSS:4.0/AV:N/AC:L/AT:P/PR:N/UI:N/VC:H/VI:N/VA:N/SC:N/SI:N/SA:N</t>
  </si>
  <si>
    <t xml:space="preserve">S23</t>
  </si>
  <si>
    <t xml:space="preserve">Brute force or credential stuffing against exposed administrative interfaces</t>
  </si>
  <si>
    <t xml:space="preserve">CVSS:4.0/AV:N/AC:L/AT:P/PR:N/UI:N/VC:H/VI:H/VA:H/SC:H/SI:H/SA:H</t>
  </si>
  <si>
    <t xml:space="preserve">S24</t>
  </si>
  <si>
    <t xml:space="preserve">Malware introduced through patient-supplied imaging media or USB devices</t>
  </si>
  <si>
    <t xml:space="preserve">CVSS:4.0/AV:P/AC:L/AT:N/PR:N/UI:P/VC:H/VI:H/VA:H/SC:L/SI:L/SA:L</t>
  </si>
  <si>
    <t xml:space="preserve">S25</t>
  </si>
  <si>
    <t xml:space="preserve">Retired devices or medical equipment released with recoverable patient data</t>
  </si>
  <si>
    <t xml:space="preserve">S26</t>
  </si>
  <si>
    <t xml:space="preserve">Staff paste patient data into unapproved generative-AI tools</t>
  </si>
  <si>
    <t xml:space="preserve">CVSS:4.0/AV:N/AC:L/AT:P/PR:L/UI:N/VC:H/VI:N/VA:N/SC:N/SI:N/SA:N</t>
  </si>
  <si>
    <t xml:space="preserve">S27</t>
  </si>
  <si>
    <t xml:space="preserve">Help-desk impersonation leads to MFA reset and account takeover</t>
  </si>
  <si>
    <t xml:space="preserve">CVSS:4.0/AV:N/AC:L/AT:N/PR:N/UI:A/VC:H/VI:H/VA:L/SC:H/SI:L/SA:L</t>
  </si>
  <si>
    <t xml:space="preserve">S28</t>
  </si>
  <si>
    <t xml:space="preserve">Malicious or departing IT administrator sabotages systems</t>
  </si>
  <si>
    <t xml:space="preserve">CVSS:4.0/AV:N/AC:L/AT:N/PR:H/UI:N/VC:H/VI:H/VA:H/SC:H/SI:H/SA:H</t>
  </si>
  <si>
    <t xml:space="preserve">S29</t>
  </si>
  <si>
    <t xml:space="preserve">Interception or tampering of unencrypted clinical interface traffic (HL7/DICOM)</t>
  </si>
  <si>
    <t xml:space="preserve">CVSS:4.0/AV:A/AC:L/AT:P/PR:N/UI:N/VC:H/VI:H/VA:N/SC:N/SI:H/SA:N</t>
  </si>
  <si>
    <t xml:space="preserve">S30</t>
  </si>
  <si>
    <t xml:space="preserve">Criminals impersonate MediBec to defraud or phish patients</t>
  </si>
  <si>
    <t xml:space="preserve">CVSS:4.0/AV:N/AC:L/AT:N/PR:N/UI:A/VC:L/VI:L/VA:N/SC:N/SI:N/SA:N</t>
  </si>
  <si>
    <t xml:space="preserve">Recommended treatment portfolio (indicative CAD estimates - not quotations or approved budgets)</t>
  </si>
  <si>
    <t xml:space="preserve">Initiative</t>
  </si>
  <si>
    <t xml:space="preserve">Owner</t>
  </si>
  <si>
    <t xml:space="preserve">Priority</t>
  </si>
  <si>
    <t xml:space="preserve">Type</t>
  </si>
  <si>
    <t xml:space="preserve">Initial cost</t>
  </si>
  <si>
    <t xml:space="preserve">Recurring / yr</t>
  </si>
  <si>
    <t xml:space="preserve">Year-1 cost</t>
  </si>
  <si>
    <t xml:space="preserve"># scenarios</t>
  </si>
  <si>
    <t xml:space="preserve">Y1 per scenario</t>
  </si>
  <si>
    <t xml:space="preserve">Start</t>
  </si>
  <si>
    <t xml:space="preserve">End</t>
  </si>
  <si>
    <t xml:space="preserve">Success indicator</t>
  </si>
  <si>
    <t xml:space="preserve">I01</t>
  </si>
  <si>
    <t xml:space="preserve">Phishing-resistant MFA and conditional access</t>
  </si>
  <si>
    <t xml:space="preserve">CIO / Cybersecurity lead</t>
  </si>
  <si>
    <t xml:space="preserve">Immediate</t>
  </si>
  <si>
    <t xml:space="preserve">Prevention</t>
  </si>
  <si>
    <t xml:space="preserve">Month 0</t>
  </si>
  <si>
    <t xml:space="preserve">Month 6</t>
  </si>
  <si>
    <t xml:space="preserve">100% privileged and remote-access accounts on phishing-resistant MFA</t>
  </si>
  <si>
    <t xml:space="preserve">I02</t>
  </si>
  <si>
    <t xml:space="preserve">Privileged access and service-account management (PAM)</t>
  </si>
  <si>
    <t xml:space="preserve">Cybersecurity lead</t>
  </si>
  <si>
    <t xml:space="preserve">Near-term</t>
  </si>
  <si>
    <t xml:space="preserve">Prevention / Governance</t>
  </si>
  <si>
    <t xml:space="preserve">Month 2</t>
  </si>
  <si>
    <t xml:space="preserve">Month 12</t>
  </si>
  <si>
    <t xml:space="preserve">0 standing domain-admin accounts; 100% service accounts vaulted</t>
  </si>
  <si>
    <t xml:space="preserve">I03</t>
  </si>
  <si>
    <t xml:space="preserve">24/7 managed detection and response with centralized logging</t>
  </si>
  <si>
    <t xml:space="preserve">Detection / Response</t>
  </si>
  <si>
    <t xml:space="preserve">MTTD &lt; 1 h, MTTC &lt; 4 h for high-severity alerts; &gt;95% critical log sources</t>
  </si>
  <si>
    <t xml:space="preserve">I04</t>
  </si>
  <si>
    <t xml:space="preserve">Immutable and isolated backup with tested recovery</t>
  </si>
  <si>
    <t xml:space="preserve">CIO (Infrastructure)</t>
  </si>
  <si>
    <t xml:space="preserve">Recovery / Resilience</t>
  </si>
  <si>
    <t xml:space="preserve">Month 9</t>
  </si>
  <si>
    <t xml:space="preserve">100% crown-jewel restore tests pass within RTO</t>
  </si>
  <si>
    <t xml:space="preserve">I05</t>
  </si>
  <si>
    <t xml:space="preserve">Risk-based vulnerability and patch management</t>
  </si>
  <si>
    <t xml:space="preserve">Month 1</t>
  </si>
  <si>
    <t xml:space="preserve">&gt;95% critical vulns remediated within SLA; 0 unsupported internet-facing systems</t>
  </si>
  <si>
    <t xml:space="preserve">I06</t>
  </si>
  <si>
    <t xml:space="preserve">Network segmentation and network access control</t>
  </si>
  <si>
    <t xml:space="preserve">Planned</t>
  </si>
  <si>
    <t xml:space="preserve">Prevention / Resilience</t>
  </si>
  <si>
    <t xml:space="preserve">Month 24</t>
  </si>
  <si>
    <t xml:space="preserve">100% medical devices and guest Wi-Fi in isolated segments</t>
  </si>
  <si>
    <t xml:space="preserve">I07</t>
  </si>
  <si>
    <t xml:space="preserve">Medical device security programme</t>
  </si>
  <si>
    <t xml:space="preserve">Biomedical engineering / Clinical Ops</t>
  </si>
  <si>
    <t xml:space="preserve">Identify / Detection</t>
  </si>
  <si>
    <t xml:space="preserve">Month 3</t>
  </si>
  <si>
    <t xml:space="preserve">100% networked devices inventoried and risk-rated</t>
  </si>
  <si>
    <t xml:space="preserve">I08</t>
  </si>
  <si>
    <t xml:space="preserve">Cloud security posture and secure image transfer</t>
  </si>
  <si>
    <t xml:space="preserve">CIO / Radiology lead</t>
  </si>
  <si>
    <t xml:space="preserve">Prevention / Detection</t>
  </si>
  <si>
    <t xml:space="preserve">0 publicly accessible storage objects; 100% object access logged</t>
  </si>
  <si>
    <t xml:space="preserve">I09</t>
  </si>
  <si>
    <t xml:space="preserve">Data access governance and EHR privacy monitoring</t>
  </si>
  <si>
    <t xml:space="preserve">Privacy officer / CIO</t>
  </si>
  <si>
    <t xml:space="preserve">Governance / Detection</t>
  </si>
  <si>
    <t xml:space="preserve">100% EHR roles recertified quarterly; bulk-access alerts reviewed within 24 h</t>
  </si>
  <si>
    <t xml:space="preserve">I10</t>
  </si>
  <si>
    <t xml:space="preserve">Third-party cyber risk management</t>
  </si>
  <si>
    <t xml:space="preserve">Procurement / Cybersecurity lead</t>
  </si>
  <si>
    <t xml:space="preserve">Governance</t>
  </si>
  <si>
    <t xml:space="preserve">100% critical vendors assessed and under revised clauses</t>
  </si>
  <si>
    <t xml:space="preserve">I11</t>
  </si>
  <si>
    <t xml:space="preserve">Incident response and clinical continuity readiness</t>
  </si>
  <si>
    <t xml:space="preserve">Cybersecurity lead / Clinical Ops</t>
  </si>
  <si>
    <t xml:space="preserve">Response / Resilience</t>
  </si>
  <si>
    <t xml:space="preserve">2 tabletops/year; all 10 clinics with tested downtime procedures</t>
  </si>
  <si>
    <t xml:space="preserve">I12</t>
  </si>
  <si>
    <t xml:space="preserve">Governance, awareness and risk reporting</t>
  </si>
  <si>
    <t xml:space="preserve">Cybersecurity lead / Executive sponsor</t>
  </si>
  <si>
    <t xml:space="preserve">Quarterly KRI report delivered; phishing report rate &gt; 70%</t>
  </si>
  <si>
    <t xml:space="preserve">I13</t>
  </si>
  <si>
    <t xml:space="preserve">Clinical data integrity controls</t>
  </si>
  <si>
    <t xml:space="preserve">CIO / Clinical Ops / Pharmacy lead</t>
  </si>
  <si>
    <t xml:space="preserve">Detection / Recovery</t>
  </si>
  <si>
    <t xml:space="preserve">Month 15</t>
  </si>
  <si>
    <t xml:space="preserve">100% critical record changes attributable and reconciled</t>
  </si>
  <si>
    <t xml:space="preserve">I14</t>
  </si>
  <si>
    <t xml:space="preserve">Application security and secrets management</t>
  </si>
  <si>
    <t xml:space="preserve">CIO (Application development)</t>
  </si>
  <si>
    <t xml:space="preserve">0 unresolved exposed secrets; 0 open critical pen-test findings &gt; 30 days</t>
  </si>
  <si>
    <t xml:space="preserve">I15</t>
  </si>
  <si>
    <t xml:space="preserve">DDoS protection, CDN and web application firewall</t>
  </si>
  <si>
    <t xml:space="preserve">CIO</t>
  </si>
  <si>
    <t xml:space="preserve">Month 4</t>
  </si>
  <si>
    <t xml:space="preserve">Public services protected; DDoS runbook tested</t>
  </si>
  <si>
    <t xml:space="preserve">I16</t>
  </si>
  <si>
    <t xml:space="preserve">Payment-fraud controls and e-mail authentication</t>
  </si>
  <si>
    <t xml:space="preserve">Finance lead / Cybersecurity lead</t>
  </si>
  <si>
    <t xml:space="preserve">100% bank changes verified; DMARC enforced on all domains</t>
  </si>
  <si>
    <t xml:space="preserve">I17</t>
  </si>
  <si>
    <t xml:space="preserve">Mobile device management, encryption and secure disposal</t>
  </si>
  <si>
    <t xml:space="preserve">CIO (Support)</t>
  </si>
  <si>
    <t xml:space="preserve">100% mobile devices enrolled; 100% disposals certified</t>
  </si>
  <si>
    <t xml:space="preserve">I18</t>
  </si>
  <si>
    <t xml:space="preserve">Network and hosting resilience</t>
  </si>
  <si>
    <t xml:space="preserve">Resilience</t>
  </si>
  <si>
    <t xml:space="preserve">Month 20</t>
  </si>
  <si>
    <t xml:space="preserve">Clinics maintain EHR read access through a hub failure test</t>
  </si>
  <si>
    <t xml:space="preserve">I19</t>
  </si>
  <si>
    <t xml:space="preserve">Data lifecycle and minimization</t>
  </si>
  <si>
    <t xml:space="preserve">Local PHI stores reduced by 80%; retention schedule applied</t>
  </si>
  <si>
    <t xml:space="preserve">I20</t>
  </si>
  <si>
    <t xml:space="preserve">Responsible use of generative AI</t>
  </si>
  <si>
    <t xml:space="preserve">Privacy officer / CMO</t>
  </si>
  <si>
    <t xml:space="preserve">Governance / Prevention</t>
  </si>
  <si>
    <t xml:space="preserve">Approved tool available; blocked PHI uploads to unapproved AI trending down</t>
  </si>
  <si>
    <t xml:space="preserve">I21</t>
  </si>
  <si>
    <t xml:space="preserve">Help-desk identity verification</t>
  </si>
  <si>
    <t xml:space="preserve">100% resets follow verified procedure (sample audit)</t>
  </si>
  <si>
    <t xml:space="preserve">I22</t>
  </si>
  <si>
    <t xml:space="preserve">Secure clinical communications and interfaces</t>
  </si>
  <si>
    <t xml:space="preserve">CIO (Integration) / Clinical Ops</t>
  </si>
  <si>
    <t xml:space="preserve">100% clinical interfaces encrypted; consumer apps retired for PHI</t>
  </si>
  <si>
    <t xml:space="preserve">I23</t>
  </si>
  <si>
    <t xml:space="preserve">Brand protection and patient anti-fraud communication</t>
  </si>
  <si>
    <t xml:space="preserve">Communications lead</t>
  </si>
  <si>
    <t xml:space="preserve">Takedown within 48 h of detection; patient notice published</t>
  </si>
  <si>
    <t xml:space="preserve">TOTAL (each initiative counted once)</t>
  </si>
  <si>
    <t xml:space="preserve">Check: sum of scenario allocations - portfolio Year-1 total (should be 0)</t>
  </si>
  <si>
    <t xml:space="preserve">Allocation assumption: each initiative's Year-1 cost is split equally across the scenarios it addresses, so shared controls are never charged in full to several scenarios.</t>
  </si>
  <si>
    <t xml:space="preserve">Cyber-insurance premium is excluded (Information gap — organizational validation required: broker quotation required).</t>
  </si>
  <si>
    <t xml:space="preserve">Sensitivity - lower / central / higher cases</t>
  </si>
  <si>
    <t xml:space="preserve">Lower case: Pb(A), Pb(psi,A), de, dm -delta; theta +delta; reductions +delta. Higher case: the reverse. Values clamped to [0.05, 0.99].</t>
  </si>
  <si>
    <t xml:space="preserve">Case</t>
  </si>
  <si>
    <t xml:space="preserve">Shift</t>
  </si>
  <si>
    <t xml:space="preserve">mu</t>
  </si>
  <si>
    <t xml:space="preserve">CVSS</t>
  </si>
  <si>
    <t xml:space="preserve">P red</t>
  </si>
  <si>
    <t xml:space="preserve">I red</t>
  </si>
  <si>
    <t xml:space="preserve">Estimated</t>
  </si>
  <si>
    <t xml:space="preserve">Tolerated</t>
  </si>
  <si>
    <t xml:space="preserve">Ratio</t>
  </si>
  <si>
    <t xml:space="preserve">Lower</t>
  </si>
  <si>
    <t xml:space="preserve">Central</t>
  </si>
  <si>
    <t xml:space="preserve">Higher</t>
  </si>
  <si>
    <t xml:space="preserve">Appetite sensitivity (central parameters): ratio at alternative appetite values</t>
  </si>
  <si>
    <t xml:space="preserve">Appetite 0.20</t>
  </si>
  <si>
    <t xml:space="preserve">Appetite 0.30</t>
  </si>
  <si>
    <t xml:space="preserve">Appetite 0.40</t>
  </si>
  <si>
    <t xml:space="preserve">Case-native escalation view (Business case s.8) - secondary cross-check</t>
  </si>
  <si>
    <t xml:space="preserve">Normalized residual = T x E x I x (1 - C), with T = Pb(A), E = Pb(psi,A), I = (de+dm)/2, C (control maturity) proxied by theta. Post-treatment = current x (1 - P x Q). Analyst mapping - validate.</t>
  </si>
  <si>
    <t xml:space="preserve">T</t>
  </si>
  <si>
    <t xml:space="preserve">E</t>
  </si>
  <si>
    <t xml:space="preserve">I</t>
  </si>
  <si>
    <t xml:space="preserve">C (theta)</t>
  </si>
  <si>
    <t xml:space="preserve">Current residual</t>
  </si>
  <si>
    <t xml:space="preserve">Level</t>
  </si>
  <si>
    <t xml:space="preserve">Post-treatment residual</t>
  </si>
  <si>
    <t xml:space="preserve">Acceptance authority (post)</t>
  </si>
  <si>
    <t xml:space="preserve">Library ref</t>
  </si>
  <si>
    <t xml:space="preserve">Statement</t>
  </si>
  <si>
    <t xml:space="preserve">Threat source</t>
  </si>
  <si>
    <t xml:space="preserve">Vulnerabilities / conditions</t>
  </si>
  <si>
    <t xml:space="preserve">Existing controls (evidence)</t>
  </si>
  <si>
    <t xml:space="preserve">Treatment package</t>
  </si>
  <si>
    <t xml:space="preserve">Initiatives</t>
  </si>
  <si>
    <t xml:space="preserve">Risk owner</t>
  </si>
  <si>
    <t xml:space="preserve">Horizon</t>
  </si>
  <si>
    <t xml:space="preserve">CVSS rationale</t>
  </si>
  <si>
    <t xml:space="preserve">MED-CYR-01 / 12</t>
  </si>
  <si>
    <t xml:space="preserve">A financially motivated external actor phishes clinic administrators and billing staff with an EHR-themed lure, captures credentials and obtains approval of an MFA push prompt, gaining remote access to the EHR, billing and administrative systems, enabling unauthorized access to patient records and follow-on intrusion.</t>
  </si>
  <si>
    <t xml:space="preserve">Cybercriminal (initial-access broker or ransomware affiliate).</t>
  </si>
  <si>
    <t xml:space="preserve">Push-based MFA without number matching or phishing resistance (E6 - validate); No evidence of conditional access (geo/device) policies; Internet-sourced macro documents reach users (E6); Awareness programme maturity unknown (Information gap)</t>
  </si>
  <si>
    <t xml:space="preserve">Email filtering / antimalware (E2 - effectiveness unknown); MFA push on remote access (E6); EDR alerting (E6 - triage weak)</t>
  </si>
  <si>
    <t xml:space="preserve">Phishing-resistant MFA and conditional access (I01) is the primary lever; PAM (I02) limits blast radius; MDR (I03) shortens dwell time; awareness and reporting (I12).</t>
  </si>
  <si>
    <t xml:space="preserve">I01, I02, I03, I12</t>
  </si>
  <si>
    <t xml:space="preserve">0-6 months</t>
  </si>
  <si>
    <t xml:space="preserve">Representative weakness: remote-access authentication accepting MFA push approval (CWE-308-type single-channel weakness). AV:N internet-reachable gateway; AC:L no special conditions; AT:N; PR:N attacker starts unauthenticated; UI:A user must actively approve; VC/VI:H full session on gateway; VA:N; SC:H EHR data behind the gateway; SI:L/SA:L limited downstream change/disruption. Applicability: moderate - human factor dominates.</t>
  </si>
  <si>
    <t xml:space="preserve">MED-CYR-02</t>
  </si>
  <si>
    <t xml:space="preserve">A ransomware group gains a foothold through a macro-enabled phishing attachment or exposed service, moves laterally across an insufficiently segmented network, exfiltrates health data and encrypts EHR support servers, shared folders and scheduling systems, halting clinical and administrative operations at multiple clinics.</t>
  </si>
  <si>
    <t xml:space="preserve">Ransomware-as-a-service affiliate (double extortion).</t>
  </si>
  <si>
    <t xml:space="preserve">Macro execution and weak alert triage (E6); Segmentation between clinics, servers and backups not evidenced (E2, E7); Privileged credential hygiene unknown (Information gap); Clinic downtime procedures untested (E7)</t>
  </si>
  <si>
    <t xml:space="preserve">Firewalls, IDS/IPS, antimalware (E2); EDR (E6); On-site and off-site backups (E2 - isolation and testing unknown); Incident command structure defined (E6 - untested)</t>
  </si>
  <si>
    <t xml:space="preserve">Layered: MDR/EDR (I03), PAM (I02), segmentation (I06), immutable backup (I04), patching (I05), IR and downtime procedures (I11), awareness (I12). Residual remains material - consider cyber-insurance transfer.</t>
  </si>
  <si>
    <t xml:space="preserve">I02, I03, I04, I05, I06, I11, I12</t>
  </si>
  <si>
    <t xml:space="preserve">Executive leadership (COO) with CIO</t>
  </si>
  <si>
    <t xml:space="preserve">0-24 months</t>
  </si>
  <si>
    <t xml:space="preserve">Representative weakness: malicious macro document leading to code execution (initial vector in E6). AV:L: the document is delivered by e-mail but opened and executed locally on the workstation (FIRST CVSS v4.0 user guide scores malicious documents as Local whatever the delivery channel); AC:L; AT:N; PR:N; UI:P user opens the document; VC/VI/VA:H on the workstation; SC/SI/SA:H because EHR and clinic systems are subsequently affected. CVSS describes the entry weakness only, not the enterprise impact.</t>
  </si>
  <si>
    <t xml:space="preserve">MED-CYR-07</t>
  </si>
  <si>
    <t xml:space="preserve">An attacker holding administrative credentials reaches backup servers that share the production identity domain and network, deletes or encrypts backup sets and clinic storage copies, so that MediBec cannot restore EHR and clinic systems within clinically acceptable time after a destructive event.</t>
  </si>
  <si>
    <t xml:space="preserve">Ransomware operator or other attacker with administrative access.</t>
  </si>
  <si>
    <t xml:space="preserve">Backup consoles authenticated through production directory (Analyst assumption - validate); No immutable or offline copy evidenced; Restore testing and RTO/RPO not evidenced (E7); Backup failure alerts not escalated (E6)</t>
  </si>
  <si>
    <t xml:space="preserve">On-site and off-site backups (E2); Encrypted storage (E2)</t>
  </si>
  <si>
    <t xml:space="preserve">Immutable/offline copies with separate backup identity (I04), segmentation (I06), PAM (I02), backup-alert monitoring (I03), quarterly restore tests and IR integration (I11).</t>
  </si>
  <si>
    <t xml:space="preserve">I02, I03, I04, I06, I11</t>
  </si>
  <si>
    <t xml:space="preserve">0-9 months</t>
  </si>
  <si>
    <t xml:space="preserve">Representative weakness: backup management console reachable from production network and trusting production administrator accounts. PR:H attacker already holds admin credentials; VC/VI/VA:H on the backup system; SA:H because recovery of all subsequent systems is lost.</t>
  </si>
  <si>
    <t xml:space="preserve">MED-CYR-03</t>
  </si>
  <si>
    <t xml:space="preserve">An opportunistic or targeted actor discovers a cloud storage location used for medical-image transfer and exports that is shared through long-lived public or weakly authenticated links, downloads large volumes of images and associated patient identifiers, and causes a large-scale health-data breach.</t>
  </si>
  <si>
    <t xml:space="preserve">Opportunistic scanner or cybercriminal data broker.</t>
  </si>
  <si>
    <t xml:space="preserve">Permissive or long-lived sharing links (Analyst assumption); No cloud posture management evidenced; Object-level access logging unknown (E4); Exports contain identifiers alongside images</t>
  </si>
  <si>
    <t xml:space="preserve">Encrypted storage (E2 - at-rest only, not access control); Cloud access via identity (E2)</t>
  </si>
  <si>
    <t xml:space="preserve">Block public access and enforce expiring authenticated links (I08); DLP and data minimization in exports (I09); object-access logging to MDR (I03).</t>
  </si>
  <si>
    <t xml:space="preserve">I03, I08, I09</t>
  </si>
  <si>
    <t xml:space="preserve">CIO with Privacy officer</t>
  </si>
  <si>
    <t xml:space="preserve">Representative weakness: storage object accessible without authentication (CWE-284 misconfiguration). AV:N, AC:L, AT:N, PR:N, UI:N; confidentiality only (VC:H).</t>
  </si>
  <si>
    <t xml:space="preserve">MED-CYR-11 (+ service-account evidence)</t>
  </si>
  <si>
    <t xml:space="preserve">A malicious or curious insider, or an attacker who has taken over the over-privileged ehr-sync-svc service account, uses legitimate but excessive EHR access to query and export large volumes of patient or billing records without triggering review, resulting in a privacy breach and loss of trust.</t>
  </si>
  <si>
    <t xml:space="preserve">Malicious or negligent insider; external actor using a service account.</t>
  </si>
  <si>
    <t xml:space="preserve">Broad role-based access in EHR (Analyst assumption); Over-privileged service account without vaulting (E6); No EHR access analytics or periodic recertification evidenced (E7); No DLP evidenced</t>
  </si>
  <si>
    <t xml:space="preserve">EHR audit log exists (E6); Encrypted storage (E2)</t>
  </si>
  <si>
    <t xml:space="preserve">Least-privilege redesign and access recertification plus EHR access analytics and DLP (I09); vault and restrict service accounts (I02); MDR use-cases (I03); HR/awareness (I12).</t>
  </si>
  <si>
    <t xml:space="preserve">I02, I03, I09, I12</t>
  </si>
  <si>
    <t xml:space="preserve">Privacy officer</t>
  </si>
  <si>
    <t xml:space="preserve">3-12 months</t>
  </si>
  <si>
    <t xml:space="preserve">Limited applicability: insider misuse is not a software vulnerability. Representative weakness used for the workbook: excessive privileges on an authenticated account (CWE-269). PR:L legitimate low-privilege access; VC:H bulk read; VI:L. Interpret with caution.</t>
  </si>
  <si>
    <t xml:space="preserve">MED-CYR-06</t>
  </si>
  <si>
    <t xml:space="preserve">A cybercriminal or state-linked actor mass-exploits a known vulnerability in an internet-facing remote access gateway, firewall or web application that MediBec has not patched because of uptime concerns, vendor constraints or limited staff, obtaining remote code execution and a foothold for data theft or ransomware.</t>
  </si>
  <si>
    <t xml:space="preserve">Cybercriminal / state-linked actor using public exploits.</t>
  </si>
  <si>
    <t xml:space="preserve">Patch SLAs and exception governance not evidenced (E7); Incomplete asset inventory (E4); Possible end-of-life systems (Information gap)</t>
  </si>
  <si>
    <t xml:space="preserve">Firewalls, IDS/IPS (E2); Antimalware (E2)</t>
  </si>
  <si>
    <t xml:space="preserve">Risk-based vulnerability and patch management with KEV SLAs and EOL retirement (I05); segmentation behind the edge (I06); MDR threat hunting (I03).</t>
  </si>
  <si>
    <t xml:space="preserve">I03, I05, I06</t>
  </si>
  <si>
    <t xml:space="preserve">1-9 months</t>
  </si>
  <si>
    <t xml:space="preserve">Representative weakness: unauthenticated remote code execution in an internet-facing gateway (typical of known-exploited edge vulnerabilities). All impacts High because the gateway fronts the internal network. Replace with the actual CVE vector once scan data is available.</t>
  </si>
  <si>
    <t xml:space="preserve">MED-CYR-09 (+ Wi-Fi path MED-CYR-05)</t>
  </si>
  <si>
    <t xml:space="preserve">An attacker reaching a clinic network (through malware, a compromised clinic Wi-Fi or vendor access) exploits an unpatched or default-credential medical device on a network shared with EHR workstations, disrupting device operation and using it as a persistent foothold, with potential consequences for patient care.</t>
  </si>
  <si>
    <t xml:space="preserve">Cybercriminal (opportunistic or during ransomware operation).</t>
  </si>
  <si>
    <t xml:space="preserve">Incomplete device inventory (E4); Embedded OS patching restricted by certification (E3); Devices and guest/clinical Wi-Fi not segmented (E4, E7 - validate); Default credentials (Analyst assumption)</t>
  </si>
  <si>
    <t xml:space="preserve">Firewalls and IDS/IPS at hub (E2 - east-west coverage unknown)</t>
  </si>
  <si>
    <t xml:space="preserve">Medical device security programme (I07), segmentation and NAC including guest Wi-Fi isolation (I06), patch/compensating controls (I05). Residual depends on manufacturers.</t>
  </si>
  <si>
    <t xml:space="preserve">I05, I06, I07</t>
  </si>
  <si>
    <t xml:space="preserve">Clinical Ops with Biomedical engineering</t>
  </si>
  <si>
    <t xml:space="preserve">3-24 months</t>
  </si>
  <si>
    <t xml:space="preserve">Representative weakness: unpatched embedded service or default credential on a networked device. AV:A reachable from the clinic LAN/Wi-Fi only; PR:N; full device impact; SC/SI/SA:L onward effects. CVSS supplemental metric Safety (S:P) would apply but is not part of the base score.</t>
  </si>
  <si>
    <t xml:space="preserve">MED-CYR-08 / 15</t>
  </si>
  <si>
    <t xml:space="preserve">An intrusion by any external actor goes unnoticed or is misclassified because alert triage, log coverage and after-hours monitoring are insufficient for a two-person cybersecurity team, and the untested incident response plan leads to slow, uncoordinated containment, turning a contained event into a major privacy and operational incident.</t>
  </si>
  <si>
    <t xml:space="preserve">Any external actor (amplifier scenario).</t>
  </si>
  <si>
    <t xml:space="preserve">No 24/7 monitoring (E3 - inferred); Alert triage criteria weak (E6); Log coverage and retention unknown (E4); IR plan untested; decision rights unclear (E8)</t>
  </si>
  <si>
    <t xml:space="preserve">IDS/IPS (E2); EDR (E6); Incident command roles defined (E6)</t>
  </si>
  <si>
    <t xml:space="preserve">24/7 MDR with centralized logging and escalation criteria (I03); IR plan, playbooks, retainer and tabletop exercises across clinics (I11); governance reporting (I12).</t>
  </si>
  <si>
    <t xml:space="preserve">I01, I03, I11, I12</t>
  </si>
  <si>
    <t xml:space="preserve">Limited applicability: a detection gap is a control weakness, not a vulnerability. Representative weakness for the workbook: the undetected initial code-execution vector (macro/PowerShell, E6), scored AV:L because the e-mailed document is opened and executed locally (FIRST CVSS v4.0 user guide). Do not interpret the score as the severity of the detection gap.</t>
  </si>
  <si>
    <t xml:space="preserve">MED-CYR-14</t>
  </si>
  <si>
    <t xml:space="preserve">A threat actor compromises an EHR, diagnostic, device or IT support vendor and uses the vendor's standing remote access or software update channel to enter MediBec's environment, bypassing perimeter controls to access health data or deploy malware.</t>
  </si>
  <si>
    <t xml:space="preserve">Supply-chain attacker (cybercriminal or state-linked).</t>
  </si>
  <si>
    <t xml:space="preserve">Standing vendor remote access (Analyst assumption); No vendor tiering or assessments evidenced (E7); Incident-notification clauses unknown (E5); Vendor sessions not brokered or recorded</t>
  </si>
  <si>
    <t xml:space="preserve">Firewalls (E2); Vendor coordination role defined for incidents (E6)</t>
  </si>
  <si>
    <t xml:space="preserve">Third-party risk programme and contract clauses (I10); vendor access only through PAM with MFA and recording (I01/I02); MDR monitoring of vendor sessions (I03); joint IR (I11). Residual largely outside MediBec's control - consider contractual and insurance transfer.</t>
  </si>
  <si>
    <t xml:space="preserve">I01, I02, I03, I10, I11</t>
  </si>
  <si>
    <t xml:space="preserve">Procurement with CIO</t>
  </si>
  <si>
    <t xml:space="preserve">2-12 months</t>
  </si>
  <si>
    <t xml:space="preserve">Limited applicability: supplier concentration is not a single vulnerability. Representative weakness: standing authenticated remote-access channel. AT:P the vendor must first be compromised; PR:L vendor account; full impacts. Validate against actual vendor access design.</t>
  </si>
  <si>
    <t xml:space="preserve">MED-CYR-13</t>
  </si>
  <si>
    <t xml:space="preserve">An attacker with compromised clinical credentials, or a malicious insider, alters medication, allergy, laboratory or billing records in the EHR or pharmacy system without detection, leading to incorrect clinical decisions, patient harm and loss of confidence in the record.</t>
  </si>
  <si>
    <t xml:space="preserve">External attacker (extortion or sabotage) or malicious insider.</t>
  </si>
  <si>
    <t xml:space="preserve">No integrity monitoring or reconciliation evidenced (E8); Broad write privileges (Analyst assumption); Audit trail review not evidenced; Post-restore integrity verification absent</t>
  </si>
  <si>
    <t xml:space="preserve">EHR audit logging (E6); Encrypted storage (E2 - no integrity protection)</t>
  </si>
  <si>
    <t xml:space="preserve">Integrity monitoring and reconciliation (I13), least-privilege write access (I09/I02), strong authentication (I01), backup-based verification (I04), MDR (I03), clinical playbook (I11).</t>
  </si>
  <si>
    <t xml:space="preserve">I01, I02, I03, I04, I09, I11, I13</t>
  </si>
  <si>
    <t xml:space="preserve">Clinical Ops (CMO)</t>
  </si>
  <si>
    <t xml:space="preserve">3-15 months</t>
  </si>
  <si>
    <t xml:space="preserve">Representative weakness: authenticated user able to modify records beyond need (improper authorization, CWE-285). PR:L; VI:H; SI:H because pharmacy/lab downstream systems consume the altered data.</t>
  </si>
  <si>
    <t xml:space="preserve">MED-CYR-04</t>
  </si>
  <si>
    <t xml:space="preserve">An opportunistic actor finds an API key, database connection string or cloud access token that a developer committed to a code repository, left in a log or embedded in a configuration file, and uses it to call MediBec's EHR integration or cloud storage APIs directly, extracting patient data without passing through user authentication.</t>
  </si>
  <si>
    <t xml:space="preserve">Opportunistic actor scanning public repositories and paste sites; cybercriminal.</t>
  </si>
  <si>
    <t xml:space="preserve">No secret scanning or vault evidenced (E7); Long-lived API keys without rotation (Analyst assumption); API calls not monitored for anomalous volume (E7); Development practices and repository visibility unknown (Information gap)</t>
  </si>
  <si>
    <t xml:space="preserve">Encrypted storage (E2 - does not protect against valid-key access)</t>
  </si>
  <si>
    <t xml:space="preserve">Secret scanning in repositories and pipelines, central vault with short-lived tokens and rotation (I14); API anomaly monitoring (I03); scoped cloud keys (I08).</t>
  </si>
  <si>
    <t xml:space="preserve">I03, I08, I14</t>
  </si>
  <si>
    <t xml:space="preserve">3-9 months</t>
  </si>
  <si>
    <t xml:space="preserve">Representative weakness: hard-coded credential (CWE-798). AT:P the attacker must first obtain the leaked secret; PR:N once held, no further privileges needed; VC:H data access; VI:L limited write scope.</t>
  </si>
  <si>
    <t xml:space="preserve">MED-CYR-05</t>
  </si>
  <si>
    <t xml:space="preserve">An attacker in or near a clinic exploits weak wireless security, an unsegmented guest network or a rogue access point to join the clinic network, intercept credentials and reach EHR workstations and local storage.</t>
  </si>
  <si>
    <t xml:space="preserve">Local attacker (visitor, patient, passer-by) or opportunistic cybercriminal.</t>
  </si>
  <si>
    <t xml:space="preserve">Guest and clinical Wi-Fi segmentation not evidenced (E7); Wireless standard and key management unknown (Information gap); No rogue AP detection evidenced; Flat clinic LAN (Analyst assumption, see S7)</t>
  </si>
  <si>
    <t xml:space="preserve">Firewalls and IDS/IPS at the Montreal hub (E2 - clinic-level coverage unknown)</t>
  </si>
  <si>
    <t xml:space="preserve">WPA3-Enterprise for staff, isolated internet-only guest Wi-Fi, rogue AP detection and NAC (I06); monitoring of clinic segments (I03).</t>
  </si>
  <si>
    <t xml:space="preserve">I03, I06</t>
  </si>
  <si>
    <t xml:space="preserve">6-18 months</t>
  </si>
  <si>
    <t xml:space="preserve">Representative weakness: weak wireless authentication with guest-to-internal routing. AV:A adjacent (radio range); VC/VI:L on the WLAN itself; SC:H clinical systems reachable behind it.</t>
  </si>
  <si>
    <t xml:space="preserve">MED-CYR-10</t>
  </si>
  <si>
    <t xml:space="preserve">A hacktivist or extortion group floods MediBec's internet-facing services with traffic, making online appointment booking, patient records access and external communications unavailable for hours or days and pushing volume to clinic phone lines.</t>
  </si>
  <si>
    <t xml:space="preserve">Hacktivist or DDoS-for-extortion group.</t>
  </si>
  <si>
    <t xml:space="preserve">No DDoS mitigation service evidenced; Single internet egress via Montreal hub (E2); No provider coordination plan evidenced</t>
  </si>
  <si>
    <t xml:space="preserve">Firewalls, IDS/IPS (E2 - not designed for volumetric attacks)</t>
  </si>
  <si>
    <t xml:space="preserve">Upstream DDoS mitigation, CDN and WAF for public services, separate egress for clinic cloud traffic (I15); provider escalation and communications playbook (I11).</t>
  </si>
  <si>
    <t xml:space="preserve">I11, I15</t>
  </si>
  <si>
    <t xml:space="preserve">Limited applicability: volumetric DDoS exploits capacity, not a software flaw. Representative weakness: service without rate limiting or upstream mitigation (CWE-770). Availability only.</t>
  </si>
  <si>
    <t xml:space="preserve">Annex B #71</t>
  </si>
  <si>
    <t xml:space="preserve">A fraudster spoofs or compromises a supplier or executive mailbox and instructs MediBec finance staff to change bank details or pay a fraudulent invoice, because payment-change verification and e-mail authentication are weak, resulting in direct financial loss.</t>
  </si>
  <si>
    <t xml:space="preserve">Organized fraud group.</t>
  </si>
  <si>
    <t xml:space="preserve">No out-of-band payment-change verification evidenced; DMARC enforcement unknown; Billing staff targeted by phishing (E6)</t>
  </si>
  <si>
    <t xml:space="preserve">E-mail filtering (E2 - effectiveness unknown)</t>
  </si>
  <si>
    <t xml:space="preserve">Mandatory call-back verification on bank-detail changes and dual approval above threshold, DMARC enforcement, BEC detection (I16); finance-specific awareness (I12).</t>
  </si>
  <si>
    <t xml:space="preserve">I12, I16</t>
  </si>
  <si>
    <t xml:space="preserve">Finance lead (CFO)</t>
  </si>
  <si>
    <t xml:space="preserve">0-3 months</t>
  </si>
  <si>
    <t xml:space="preserve">Limited applicability: payment fraud is a process weakness. Representative weakness: spoofable sender domain without enforced DMARC. UI:A staff must act on the instruction; VI:L data changed. The low score understates business impact - rely on damage estimates.</t>
  </si>
  <si>
    <t xml:space="preserve">Annex B #7</t>
  </si>
  <si>
    <t xml:space="preserve">A clinician's tablet or handheld used for EHR access is lost or stolen; because device encryption, screen lock and remote wipe are not centrally enforced, patient data cached on the device or accessible through saved sessions is exposed.</t>
  </si>
  <si>
    <t xml:space="preserve">Opportunistic thief; accidental loss.</t>
  </si>
  <si>
    <t xml:space="preserve">MDM, device encryption and remote wipe not evidenced; Persistent EHR sessions on mobile devices (Analyst assumption); Loss-reporting procedure unknown</t>
  </si>
  <si>
    <t xml:space="preserve">Encrypted central storage (E2)</t>
  </si>
  <si>
    <t xml:space="preserve">MDM with enforced encryption, PIN, session timeout, remote wipe and loss-reporting workflow (I17).</t>
  </si>
  <si>
    <t xml:space="preserve">Representative weakness: missing encryption of sensitive data at rest on the device (CWE-311). AV:P physical possession required; confidentiality only.</t>
  </si>
  <si>
    <t xml:space="preserve">Annex B #5, #49</t>
  </si>
  <si>
    <t xml:space="preserve">A carrier failure, cyberattack on network devices or data-centre incident takes the Montreal hub or WAN offline; because clinics depend on a single hub without tested redundancy or local fallback, EHR, imaging, lab and pharmacy access is lost at all ten clinics simultaneously.</t>
  </si>
  <si>
    <t xml:space="preserve">Accidental/environmental event, carrier failure, or attacker targeting network infrastructure.</t>
  </si>
  <si>
    <t xml:space="preserve">Single hub and possibly single carrier (Analyst assumption); Firewall redundancy unknown (Annex B #5); No alternate processing site evidenced; Clinic downtime procedures untested (E7)</t>
  </si>
  <si>
    <t xml:space="preserve">High-speed fibre links (E2); Off-site backups (E2 - restore time unknown)</t>
  </si>
  <si>
    <t xml:space="preserve">Dual carriers / SD-WAN, firewall high availability, cloud or secondary-site failover for EHR read access (I18); tested clinic downtime procedures (I11).</t>
  </si>
  <si>
    <t xml:space="preserve">I11, I18</t>
  </si>
  <si>
    <t xml:space="preserve">CIO (Infrastructure) with Clinical Ops</t>
  </si>
  <si>
    <t xml:space="preserve">6-24 months</t>
  </si>
  <si>
    <t xml:space="preserve">Limited applicability: architectural dependency, largely non-malicious. Representative weakness: denial of service against a single edge device with no redundancy (AT:P specific conditions); VA:H and SA:H for downstream systems.</t>
  </si>
  <si>
    <t xml:space="preserve">Annex B #55, #111</t>
  </si>
  <si>
    <t xml:space="preserve">Patient exports, scanned documents and imaging copies accumulate on local clinic storage units outside central access control, retention and monitoring; an insider, intruder or misconfigured share exposes them, or they are lost without backup.</t>
  </si>
  <si>
    <t xml:space="preserve">Curious or malicious insider; intruder; accidental misconfiguration.</t>
  </si>
  <si>
    <t xml:space="preserve">Data sprawl without inventory (E4); Permissive share permissions (Analyst assumption); Retention schedule not evidenced; Local backup reliability questionable (E6)</t>
  </si>
  <si>
    <t xml:space="preserve">Encrypted storage (E2); On-site and off-site backups (E2)</t>
  </si>
  <si>
    <t xml:space="preserve">Data discovery, consolidation of local data into managed central stores, least-privilege shares, retention schedule (I19); encrypted and managed endpoints/storage (I17).</t>
  </si>
  <si>
    <t xml:space="preserve">I17, I19</t>
  </si>
  <si>
    <t xml:space="preserve">Privacy officer with CIO</t>
  </si>
  <si>
    <t xml:space="preserve">Representative weakness: incorrect default permissions on network shares (CWE-276). AV:A clinic network; PR:L any domain user.</t>
  </si>
  <si>
    <t xml:space="preserve">Annex B #171, #83</t>
  </si>
  <si>
    <t xml:space="preserve">An attacker, or a curious patient, exploits an authorization flaw (insecure direct object reference) or injection weakness in MediBec's online records-access or booking application, retrieving other patients' records at scale.</t>
  </si>
  <si>
    <t xml:space="preserve">External attacker or curious authenticated patient.</t>
  </si>
  <si>
    <t xml:space="preserve">No application penetration testing evidenced; Secure SDLC not evidenced (E7); No WAF evidenced; Application logging for enumeration unknown</t>
  </si>
  <si>
    <t xml:space="preserve">Firewalls, IDS/IPS (E2 - limited for application logic)</t>
  </si>
  <si>
    <t xml:space="preserve">Annual application penetration testing and secure SDLC (I14), WAF with rate limiting (I15), scanning of web tier (I05), enumeration detection (I03).</t>
  </si>
  <si>
    <t xml:space="preserve">I03, I05, I14, I15</t>
  </si>
  <si>
    <t xml:space="preserve">CIO (Application owner)</t>
  </si>
  <si>
    <t xml:space="preserve">Representative weakness: authorization bypass through user-controlled key (CWE-639). PR:L any patient account; VC:H cross-patient data.</t>
  </si>
  <si>
    <t xml:space="preserve">Annex B #40, #99</t>
  </si>
  <si>
    <t xml:space="preserve">A threat actor compromises the build or update infrastructure of software used by MediBec (EHR component, imaging viewer, remote-management tool) and distributes a signed malicious update, which MediBec installs automatically, giving the actor a foothold across many systems at once.</t>
  </si>
  <si>
    <t xml:space="preserve">State-linked or advanced criminal supply-chain actor.</t>
  </si>
  <si>
    <t xml:space="preserve">Automatic updates without staging (Analyst assumption); No software bill of materials or supplier assurance (E7); Limited egress filtering from servers (Analyst assumption)</t>
  </si>
  <si>
    <t xml:space="preserve">Antimalware (E2 - signed updates usually bypass it); EDR (E6)</t>
  </si>
  <si>
    <t xml:space="preserve">Supplier assurance and staged updates for critical software (I10); egress control and behavioural detection (I03); rebuild playbook (I11). Prevention is largely outside MediBec's control - transfer and acceptance required.</t>
  </si>
  <si>
    <t xml:space="preserve">I03, I10, I11</t>
  </si>
  <si>
    <t xml:space="preserve">CIO with Procurement</t>
  </si>
  <si>
    <t xml:space="preserve">Limited applicability: supplier compromise. Representative weakness: download of code without integrity check (CWE-494). AC:H and AT:P - the supplier's pipeline must be compromised first.</t>
  </si>
  <si>
    <t xml:space="preserve">Annex B #29, #144</t>
  </si>
  <si>
    <t xml:space="preserve">An attacker steals a session token or tricks a cloud administrator into granting consent to a malicious application, obtaining persistent control of MediBec's cloud tenant, from which they read mail and files, create backdoor accounts and disable logging.</t>
  </si>
  <si>
    <t xml:space="preserve">Cybercriminal or state-linked actor.</t>
  </si>
  <si>
    <t xml:space="preserve">Token-theft-resistant controls (device binding, conditional access) not evidenced; Users can consent to third-party apps (Analyst assumption); Cloud admin roles not separated or JIT (E7); Cloud audit logs not centralised (E4)</t>
  </si>
  <si>
    <t xml:space="preserve">MFA push (E6); Cloud identity (E2)</t>
  </si>
  <si>
    <t xml:space="preserve">Phishing-resistant MFA and token-binding conditional access (I01), JIT cloud admin roles and admin-consent workflow (I02), cloud posture baseline (I08), cloud audit logs to MDR (I03).</t>
  </si>
  <si>
    <t xml:space="preserve">I01, I02, I03, I08</t>
  </si>
  <si>
    <t xml:space="preserve">Representative weakness: session token not bound to device, reusable after MFA (CWE-294-type). UI:A admin must interact with the lure; all impacts High because the control plane governs subsequent systems.</t>
  </si>
  <si>
    <t xml:space="preserve">Annex B #14, #54</t>
  </si>
  <si>
    <t xml:space="preserve">A staff member unintentionally discloses patient information - misdirected e-mail or fax, wrong attachment, record uploaded to a personal cloud, or document handed to the wrong patient - because data-handling controls and awareness are limited, resulting in privacy incidents and patient complaints.</t>
  </si>
  <si>
    <t xml:space="preserve">Negligent insider (human error).</t>
  </si>
  <si>
    <t xml:space="preserve">No DLP or recipient warnings evidenced; Role-based privacy training unknown (E7); Use of fax/e-mail for referrals (Analyst assumption)</t>
  </si>
  <si>
    <t xml:space="preserve">Privacy and compliance function (E4 in s.4)</t>
  </si>
  <si>
    <t xml:space="preserve">Outbound DLP and recipient warnings (I09), secure referral channel replacing fax/e-mail and data minimization (I19), role-based privacy training (I12).</t>
  </si>
  <si>
    <t xml:space="preserve">I09, I12, I19</t>
  </si>
  <si>
    <t xml:space="preserve">Limited applicability: human error. Representative weakness: absence of outbound data-loss safeguards for an authenticated user. The score is low by design; business impact is captured in damage estimates.</t>
  </si>
  <si>
    <t xml:space="preserve">Annex B #146, #105, #173</t>
  </si>
  <si>
    <t xml:space="preserve">An outsider joins or records a teleconsultation through an open meeting link, or intercepts clinical messages sent through unapproved or poorly configured communication tools, exposing sensitive consultations.</t>
  </si>
  <si>
    <t xml:space="preserve">Opportunistic intruder; curious third party.</t>
  </si>
  <si>
    <t xml:space="preserve">Meeting links without waiting room or authentication (Analyst assumption); Use of consumer messaging apps by clinicians (Analyst assumption); Communication platform configuration baseline not evidenced</t>
  </si>
  <si>
    <t xml:space="preserve">Communication systems in place (E2 - security settings unknown)</t>
  </si>
  <si>
    <t xml:space="preserve">Approved telehealth and messaging platform with authenticated entry, waiting rooms, encryption and configuration baseline; ban on consumer apps for PHI (I22).</t>
  </si>
  <si>
    <t xml:space="preserve">Clinical Ops with CIO</t>
  </si>
  <si>
    <t xml:space="preserve">3-6 months</t>
  </si>
  <si>
    <t xml:space="preserve">Representative weakness: missing authentication for a meeting resource (CWE-306). AT:P attacker must obtain the link.</t>
  </si>
  <si>
    <t xml:space="preserve">Annex B #82, #90, #22</t>
  </si>
  <si>
    <t xml:space="preserve">An attacker finds management interfaces (remote desktop, hypervisor or firewall consoles, storage or out-of-band management) exposed to the internet or partner networks and gains access by credential stuffing or default passwords, obtaining administrative control of infrastructure.</t>
  </si>
  <si>
    <t xml:space="preserve">Cybercriminal / initial-access broker.</t>
  </si>
  <si>
    <t xml:space="preserve">Unknown internet-exposed services (E4); Admin interfaces without MFA (Analyst assumption); Default or reused credentials (Analyst assumption); No external attack-surface monitoring evidenced</t>
  </si>
  <si>
    <t xml:space="preserve">Firewalls (E2); IDS/IPS (E2)</t>
  </si>
  <si>
    <t xml:space="preserve">External attack-surface management and removal of exposed interfaces (I05), MFA and PAM-brokered admin access (I01, I02), monitoring of admin logins (I03).</t>
  </si>
  <si>
    <t xml:space="preserve">I01, I02, I03, I05</t>
  </si>
  <si>
    <t xml:space="preserve">Representative weakness: exposed management interface with weak or default credentials (CWE-1392/521). AT:P - success depends on a guessable credential.</t>
  </si>
  <si>
    <t xml:space="preserve">Annex B #168</t>
  </si>
  <si>
    <t xml:space="preserve">Malware on a patient-supplied imaging CD/USB or a staff USB drive executes on a radiology workstation or device console when the media is loaded, infecting systems that are poorly protected by endpoint security and connected to the clinical network.</t>
  </si>
  <si>
    <t xml:space="preserve">Commodity malware (often unintentional carriers).</t>
  </si>
  <si>
    <t xml:space="preserve">Autorun or unrestricted media import on imaging workstations (Analyst assumption); Device consoles without EDR (E4); No kiosk for media scanning evidenced</t>
  </si>
  <si>
    <t xml:space="preserve">Antimalware (E2 - coverage of device consoles unknown)</t>
  </si>
  <si>
    <t xml:space="preserve">Media-scanning kiosk and device control, EDR where supported (I03), medical device hardening (I07), isolating imaging segments (I06), staff procedure (I12).</t>
  </si>
  <si>
    <t xml:space="preserve">I03, I06, I07, I12</t>
  </si>
  <si>
    <t xml:space="preserve">Radiology lead with Cybersecurity lead</t>
  </si>
  <si>
    <t xml:space="preserve">Representative weakness: automatic execution of content from removable media. AV:P media inserted physically; UI:P staff loads it.</t>
  </si>
  <si>
    <t xml:space="preserve">Annex B #132, #138</t>
  </si>
  <si>
    <t xml:space="preserve">Workstations, drives, printers, storage units or medical equipment are returned to lessors, sold or recycled without certified data sanitization, and a third party recovers patient data from them.</t>
  </si>
  <si>
    <t xml:space="preserve">Downstream buyer, recycler or researcher.</t>
  </si>
  <si>
    <t xml:space="preserve">No certified sanitization process evidenced; Leased device return process (Analyst assumption); Asset inventory incomplete (E4)</t>
  </si>
  <si>
    <t xml:space="preserve">Encrypted storage for central data (E2 - not necessarily device drives)</t>
  </si>
  <si>
    <t xml:space="preserve">Certified sanitization with certificates of destruction, lease-return clauses, full-disk encryption on all devices (I17, I19).</t>
  </si>
  <si>
    <t xml:space="preserve">CIO with Biomedical engineering</t>
  </si>
  <si>
    <t xml:space="preserve">Representative weakness: sensitive information in resource not removed before reuse (CWE-226). AV:P physical possession.</t>
  </si>
  <si>
    <t xml:space="preserve">Annex B #141</t>
  </si>
  <si>
    <t xml:space="preserve">Clinicians and administrative staff use public generative-AI tools to summarize notes, draft letters or translate documents, pasting identifiable patient information into services whose data retention, training use and location MediBec has not assessed, resulting in uncontrolled disclosure of health information.</t>
  </si>
  <si>
    <t xml:space="preserve">Well-intentioned insider; AI service provider handling.</t>
  </si>
  <si>
    <t xml:space="preserve">No AI acceptable-use policy evidenced; No approved alternative tool; Web DLP / category controls not evidenced; Awareness content does not cover AI (Analyst assumption)</t>
  </si>
  <si>
    <t xml:space="preserve">Privacy and compliance function (s.4)</t>
  </si>
  <si>
    <t xml:space="preserve">AI acceptable-use policy, sanctioned privacy-assessed AI tool, web category controls and DLP for AI sites (I20, I09), training (I12).</t>
  </si>
  <si>
    <t xml:space="preserve">I09, I12, I20</t>
  </si>
  <si>
    <t xml:space="preserve">Privacy officer with CMO</t>
  </si>
  <si>
    <t xml:space="preserve">Limited applicability: policy and data-governance gap. Representative weakness: exposure of sensitive information to an unauthorized actor via unrestricted egress (CWE-200). AT:P - harm depends on provider retention.</t>
  </si>
  <si>
    <t xml:space="preserve">Annex B #96 (social engineering)</t>
  </si>
  <si>
    <t xml:space="preserve">An attacker phones the IT help desk impersonating a clinician or manager, uses publicly available details to pass weak identity checks, and has the password and MFA device reset, taking over the account and accessing EHR and remote access.</t>
  </si>
  <si>
    <t xml:space="preserve">Social-engineering-capable cybercriminal group.</t>
  </si>
  <si>
    <t xml:space="preserve">Help-desk verification based on knowable data (Analyst assumption); No manager or video verification for MFA resets; No alerting on MFA device changes (E7)</t>
  </si>
  <si>
    <t xml:space="preserve">MFA push (E6)</t>
  </si>
  <si>
    <t xml:space="preserve">Strong help-desk verification (call-back, manager approval, video ID) for resets (I21), phishing-resistant authenticators that cannot be re-enrolled by phone (I01), alerts on MFA changes and awareness (I12).</t>
  </si>
  <si>
    <t xml:space="preserve">I01, I12, I21</t>
  </si>
  <si>
    <t xml:space="preserve">Limited applicability: process weakness. Representative weakness: weak authentication of the account-recovery process (CWE-640). UI:A help-desk agent acts.</t>
  </si>
  <si>
    <t xml:space="preserve">Annex B #15, #115</t>
  </si>
  <si>
    <t xml:space="preserve">A disgruntled or departing IT administrator with broad standing privileges deletes backups, disables accounts or plants logic bombs; with a 15-person IT team and concentrated knowledge, MediBec cannot quickly detect or reverse the actions, causing prolonged outages.</t>
  </si>
  <si>
    <t xml:space="preserve">Malicious privileged insider.</t>
  </si>
  <si>
    <t xml:space="preserve">Standing domain-admin rights (Analyst assumption); No monitoring of admin actions (Annex B #115); Weak offboarding of privileged users (Analyst assumption); Backups deletable by same admins (see S3)</t>
  </si>
  <si>
    <t xml:space="preserve">Backups (E2)</t>
  </si>
  <si>
    <t xml:space="preserve">PAM with JIT and session recording, separation of duties (I02), monitoring of admin actions (I03), immutable backups outside admin reach (I04), HR-IT offboarding playbook (I11).</t>
  </si>
  <si>
    <t xml:space="preserve">I02, I03, I04, I11</t>
  </si>
  <si>
    <t xml:space="preserve">CIO with HR</t>
  </si>
  <si>
    <t xml:space="preserve">Limited applicability: insider abuse of legitimate privileges. Representative weakness: excessive standing privileges (CWE-250). PR:H administrator.</t>
  </si>
  <si>
    <t xml:space="preserve">Annex B #153, #176</t>
  </si>
  <si>
    <t xml:space="preserve">An attacker positioned on the clinic network or WAN captures or alters unencrypted HL7 lab/pharmacy messages or DICOM image transfers between clinical systems, exposing results or injecting false values that flow into the EHR.</t>
  </si>
  <si>
    <t xml:space="preserve">Attacker with internal network position (following S2, S7, S12).</t>
  </si>
  <si>
    <t xml:space="preserve">Cleartext HL7/DICOM (Analyst assumption); No message integrity validation (Analyst assumption); Flat network allowing interception (see S7)</t>
  </si>
  <si>
    <t xml:space="preserve">Firewalls and IDS/IPS (E2)</t>
  </si>
  <si>
    <t xml:space="preserve">TLS/VPN for HL7 and DICOM, interface-engine hardening (I22), segmentation (I06), reconciliation of results (I13).</t>
  </si>
  <si>
    <t xml:space="preserve">I06, I13, I22</t>
  </si>
  <si>
    <t xml:space="preserve">CIO (Integration) with Laboratory lead</t>
  </si>
  <si>
    <t xml:space="preserve">6-15 months</t>
  </si>
  <si>
    <t xml:space="preserve">Representative weakness: cleartext transmission of sensitive information (CWE-319) without integrity check (CWE-353). AV:A adjacent; AT:P attacker must be on path; SI:H downstream EHR.</t>
  </si>
  <si>
    <t xml:space="preserve">Appendix A domain; Annex B #65, #71</t>
  </si>
  <si>
    <t xml:space="preserve">Fraudsters register look-alike domains and send SMS or e-mail messages posing as MediBec (appointment confirmations, billing notices, results available) to harvest patients' credentials, health-card details or payments, harming patients and eroding trust even though MediBec's systems are not breached.</t>
  </si>
  <si>
    <t xml:space="preserve">Fraud group.</t>
  </si>
  <si>
    <t xml:space="preserve">No look-alike domain monitoring or takedown (E6); DMARC enforcement unknown; No published patient communication standard (e.g. 'we never ask for...')</t>
  </si>
  <si>
    <t xml:space="preserve">None evidenced</t>
  </si>
  <si>
    <t xml:space="preserve">Look-alike domain monitoring and takedown, verified sender channels, patient communication standard and awareness notices (I23), DMARC enforcement (I16), staff reporting (I12).</t>
  </si>
  <si>
    <t xml:space="preserve">I12, I16, I23</t>
  </si>
  <si>
    <t xml:space="preserve">Limited applicability: impersonation outside MediBec's systems. Representative weakness: sender domain spoofable without enforced DMARC. Business impact is captured by damage estimates, not CVSS.</t>
  </si>
  <si>
    <t xml:space="preserve">Candidate scenario</t>
  </si>
  <si>
    <t xml:space="preserve">Vulnerability / condition</t>
  </si>
  <si>
    <t xml:space="preserve">Primary asset</t>
  </si>
  <si>
    <t xml:space="preserve">Undesired outcome</t>
  </si>
  <si>
    <t xml:space="preserve">Decision</t>
  </si>
  <si>
    <t xml:space="preserve">Screening rationale</t>
  </si>
  <si>
    <t xml:space="preserve">C01</t>
  </si>
  <si>
    <t xml:space="preserve">Phishing-led compromise of clinic administrator credentials</t>
  </si>
  <si>
    <t xml:space="preserve">Cybercriminal</t>
  </si>
  <si>
    <t xml:space="preserve">Push-based MFA susceptible to fatigue; macro attachments delivered</t>
  </si>
  <si>
    <t xml:space="preserve">CJ5 / CJ1</t>
  </si>
  <si>
    <t xml:space="preserve">Unauthorized EHR and remote access</t>
  </si>
  <si>
    <t xml:space="preserve">MED-CYR-01, 12</t>
  </si>
  <si>
    <t xml:space="preserve">Selected (S1)</t>
  </si>
  <si>
    <t xml:space="preserve">Most frequent initial-access path; directly evidenced by injects E6.</t>
  </si>
  <si>
    <t xml:space="preserve">C02</t>
  </si>
  <si>
    <t xml:space="preserve">Ransomware encrypting EHR support systems, shared folders and scheduling</t>
  </si>
  <si>
    <t xml:space="preserve">Ransomware group</t>
  </si>
  <si>
    <t xml:space="preserve">Flat internal network; weak alert triage; backups reachable</t>
  </si>
  <si>
    <t xml:space="preserve">CJ1 / CJ3 / CJ6</t>
  </si>
  <si>
    <t xml:space="preserve">Multi-clinic disruption and data theft</t>
  </si>
  <si>
    <t xml:space="preserve">Selected (S2)</t>
  </si>
  <si>
    <t xml:space="preserve">Highest combined clinical, privacy and operational consequence.</t>
  </si>
  <si>
    <t xml:space="preserve">C03</t>
  </si>
  <si>
    <t xml:space="preserve">Backup environment compromised before encryption, recovery fails</t>
  </si>
  <si>
    <t xml:space="preserve">Ransomware group / privileged attacker</t>
  </si>
  <si>
    <t xml:space="preserve">Backups in same admin domain; restore testing not evidenced</t>
  </si>
  <si>
    <t xml:space="preserve">CJ6</t>
  </si>
  <si>
    <t xml:space="preserve">Prolonged outage, loss of recoverability</t>
  </si>
  <si>
    <t xml:space="preserve">Selected (S3)</t>
  </si>
  <si>
    <t xml:space="preserve">Determines whether S2 is survivable; backup failures in E6.</t>
  </si>
  <si>
    <t xml:space="preserve">C04</t>
  </si>
  <si>
    <t xml:space="preserve">Cloud medical-image transfer storage exposed or accessed externally</t>
  </si>
  <si>
    <t xml:space="preserve">Opportunistic actor / cybercriminal</t>
  </si>
  <si>
    <t xml:space="preserve">Permissive sharing, weak cloud logging and posture management</t>
  </si>
  <si>
    <t xml:space="preserve">CJ7</t>
  </si>
  <si>
    <t xml:space="preserve">Bulk health-data exposure</t>
  </si>
  <si>
    <t xml:space="preserve">Selected (S4)</t>
  </si>
  <si>
    <t xml:space="preserve">Large-volume PHI exposure; evidenced by unusual downloads (E6).</t>
  </si>
  <si>
    <t xml:space="preserve">C05</t>
  </si>
  <si>
    <t xml:space="preserve">API key committed to a code repository enables data access</t>
  </si>
  <si>
    <t xml:space="preserve">Opportunistic actor</t>
  </si>
  <si>
    <t xml:space="preserve">No secret scanning or vault evidenced</t>
  </si>
  <si>
    <t xml:space="preserve">CJ1 / CJ7</t>
  </si>
  <si>
    <t xml:space="preserve">Direct API data extraction</t>
  </si>
  <si>
    <t xml:space="preserve">Selected (S11)</t>
  </si>
  <si>
    <t xml:space="preserve">Now retained: portfolio of 30 allows coverage of development-related exposure.</t>
  </si>
  <si>
    <t xml:space="preserve">C06</t>
  </si>
  <si>
    <t xml:space="preserve">Clinic Wi-Fi compromise or rogue access point</t>
  </si>
  <si>
    <t xml:space="preserve">Local attacker</t>
  </si>
  <si>
    <t xml:space="preserve">Guest/clinical Wi-Fi segmentation not evidenced</t>
  </si>
  <si>
    <t xml:space="preserve">Clinic LAN</t>
  </si>
  <si>
    <t xml:space="preserve">Internal network foothold</t>
  </si>
  <si>
    <t xml:space="preserve">Selected (S12)</t>
  </si>
  <si>
    <t xml:space="preserve">Now retained as a distinct wireless entry path (S7 remains the device-safety scenario).</t>
  </si>
  <si>
    <t xml:space="preserve">C07</t>
  </si>
  <si>
    <t xml:space="preserve">Cybercriminal / state-linked actor</t>
  </si>
  <si>
    <t xml:space="preserve">Patch delays from uptime and vendor constraints</t>
  </si>
  <si>
    <t xml:space="preserve">CJ5 / CJ6</t>
  </si>
  <si>
    <t xml:space="preserve">Remote code execution and intrusion</t>
  </si>
  <si>
    <t xml:space="preserve">Selected (S6)</t>
  </si>
  <si>
    <t xml:space="preserve">Mass exploitation of edge devices is a leading entry vector; patching constraints documented (E3).</t>
  </si>
  <si>
    <t xml:space="preserve">C08</t>
  </si>
  <si>
    <t xml:space="preserve">Intrusion goes undetected because monitoring and triage are insufficient</t>
  </si>
  <si>
    <t xml:space="preserve">Any external actor</t>
  </si>
  <si>
    <t xml:space="preserve">2-person team, alert closed as low severity, log coverage unknown</t>
  </si>
  <si>
    <t xml:space="preserve">All</t>
  </si>
  <si>
    <t xml:space="preserve">Extended dwell time, amplified harm</t>
  </si>
  <si>
    <t xml:space="preserve">MED-CYR-08</t>
  </si>
  <si>
    <t xml:space="preserve">Selected (S8)</t>
  </si>
  <si>
    <t xml:space="preserve">Systemic amplifier; directly evidenced (E3, E6).</t>
  </si>
  <si>
    <t xml:space="preserve">C09</t>
  </si>
  <si>
    <t xml:space="preserve">Connected medical device used as network foothold</t>
  </si>
  <si>
    <t xml:space="preserve">Unpatched embedded OS, incomplete inventory, weak segmentation</t>
  </si>
  <si>
    <t xml:space="preserve">CJ8</t>
  </si>
  <si>
    <t xml:space="preserve">Device disruption, lateral movement</t>
  </si>
  <si>
    <t xml:space="preserve">MED-CYR-09</t>
  </si>
  <si>
    <t xml:space="preserve">Selected (S7)</t>
  </si>
  <si>
    <t xml:space="preserve">Only scenario with direct patient-safety pathway through equipment.</t>
  </si>
  <si>
    <t xml:space="preserve">C10</t>
  </si>
  <si>
    <t xml:space="preserve">DDoS against patient-facing online services</t>
  </si>
  <si>
    <t xml:space="preserve">Hacktivist / extortionist</t>
  </si>
  <si>
    <t xml:space="preserve">No DDoS protection evidenced</t>
  </si>
  <si>
    <t xml:space="preserve">CJ3</t>
  </si>
  <si>
    <t xml:space="preserve">Online booking unavailable</t>
  </si>
  <si>
    <t xml:space="preserve">Selected (S13)</t>
  </si>
  <si>
    <t xml:space="preserve">Now retained: availability of patient-facing services.</t>
  </si>
  <si>
    <t xml:space="preserve">C11</t>
  </si>
  <si>
    <t xml:space="preserve">Staff member exports health or billing records for unauthorized purposes</t>
  </si>
  <si>
    <t xml:space="preserve">Malicious or curious insider</t>
  </si>
  <si>
    <t xml:space="preserve">Broad EHR roles, limited access analytics</t>
  </si>
  <si>
    <t xml:space="preserve">CJ1 / CJ4</t>
  </si>
  <si>
    <t xml:space="preserve">Privacy breach</t>
  </si>
  <si>
    <t xml:space="preserve">MED-CYR-11</t>
  </si>
  <si>
    <t xml:space="preserve">Selected (S5, merged with C15)</t>
  </si>
  <si>
    <t xml:space="preserve">Common in healthcare; high regulatory significance.</t>
  </si>
  <si>
    <t xml:space="preserve">C12</t>
  </si>
  <si>
    <t xml:space="preserve">Alteration of patient, medication or billing records</t>
  </si>
  <si>
    <t xml:space="preserve">Attacker or insider</t>
  </si>
  <si>
    <t xml:space="preserve">Limited integrity monitoring and reconciliation</t>
  </si>
  <si>
    <t xml:space="preserve">CJ1 / CJ2</t>
  </si>
  <si>
    <t xml:space="preserve">Unsafe clinical decisions, billing errors</t>
  </si>
  <si>
    <t xml:space="preserve">Selected (S10)</t>
  </si>
  <si>
    <t xml:space="preserve">Lower likelihood but severe patient-safety consequence.</t>
  </si>
  <si>
    <t xml:space="preserve">C13</t>
  </si>
  <si>
    <t xml:space="preserve">Compromise of a vendor with remote access to MediBec systems</t>
  </si>
  <si>
    <t xml:space="preserve">Supply-chain attacker</t>
  </si>
  <si>
    <t xml:space="preserve">Standing vendor access, limited assurance</t>
  </si>
  <si>
    <t xml:space="preserve">CJ1 / CJ2 / CJ8</t>
  </si>
  <si>
    <t xml:space="preserve">Trusted-path intrusion</t>
  </si>
  <si>
    <t xml:space="preserve">Selected (S9)</t>
  </si>
  <si>
    <t xml:space="preserve">Many critical vendors (EHR, devices, cloud); controls largely absent.</t>
  </si>
  <si>
    <t xml:space="preserve">C14</t>
  </si>
  <si>
    <t xml:space="preserve">Untested incident response plan causes poor coordination</t>
  </si>
  <si>
    <t xml:space="preserve">Any incident</t>
  </si>
  <si>
    <t xml:space="preserve">No tabletop evidence across clinics</t>
  </si>
  <si>
    <t xml:space="preserve">Slow, uncoordinated response</t>
  </si>
  <si>
    <t xml:space="preserve">MED-CYR-15</t>
  </si>
  <si>
    <t xml:space="preserve">Merged into S8</t>
  </si>
  <si>
    <t xml:space="preserve">A resilience condition rather than a threat; combined with detection into one response-capacity scenario.</t>
  </si>
  <si>
    <t xml:space="preserve">C15</t>
  </si>
  <si>
    <t xml:space="preserve">Over-privileged service account (ehr-sync-svc) abused for mass extraction</t>
  </si>
  <si>
    <t xml:space="preserve">External attacker or insider</t>
  </si>
  <si>
    <t xml:space="preserve">Service account privileges, no vaulting</t>
  </si>
  <si>
    <t xml:space="preserve">CJ1</t>
  </si>
  <si>
    <t xml:space="preserve">Mass PHI extraction</t>
  </si>
  <si>
    <t xml:space="preserve">Evidence E6</t>
  </si>
  <si>
    <t xml:space="preserve">Merged into S5</t>
  </si>
  <si>
    <t xml:space="preserve">Same control family (privileged and legitimate-access misuse).</t>
  </si>
  <si>
    <t xml:space="preserve">C16</t>
  </si>
  <si>
    <t xml:space="preserve">Montreal data centre or WAN outage isolates all clinics</t>
  </si>
  <si>
    <t xml:space="preserve">Accidental / environmental</t>
  </si>
  <si>
    <t xml:space="preserve">Single hub dependency</t>
  </si>
  <si>
    <t xml:space="preserve">Enterprise-wide outage</t>
  </si>
  <si>
    <t xml:space="preserve">Annex B #49</t>
  </si>
  <si>
    <t xml:space="preserve">Selected (S16)</t>
  </si>
  <si>
    <t xml:space="preserve">Now retained as a resilience scenario (hub concentration).</t>
  </si>
  <si>
    <t xml:space="preserve">C17</t>
  </si>
  <si>
    <t xml:space="preserve">Unmanaged copies on local clinic storage units exposed</t>
  </si>
  <si>
    <t xml:space="preserve">Theft / insider</t>
  </si>
  <si>
    <t xml:space="preserve">Data sprawl, local storage outside central controls</t>
  </si>
  <si>
    <t xml:space="preserve">Clinic storage</t>
  </si>
  <si>
    <t xml:space="preserve">Local data breach</t>
  </si>
  <si>
    <t xml:space="preserve">Annex B #55</t>
  </si>
  <si>
    <t xml:space="preserve">Selected (S17)</t>
  </si>
  <si>
    <t xml:space="preserve">Now retained: data sprawl on local clinic storage.</t>
  </si>
  <si>
    <t xml:space="preserve">C18</t>
  </si>
  <si>
    <t xml:space="preserve">Business e-mail compromise diverts billing payments</t>
  </si>
  <si>
    <t xml:space="preserve">Fraudster</t>
  </si>
  <si>
    <t xml:space="preserve">Weak payment verification</t>
  </si>
  <si>
    <t xml:space="preserve">CJ4</t>
  </si>
  <si>
    <t xml:space="preserve">Financial loss</t>
  </si>
  <si>
    <t xml:space="preserve">Selected (S14)</t>
  </si>
  <si>
    <t xml:space="preserve">Now retained: direct financial loss pathway.</t>
  </si>
  <si>
    <t xml:space="preserve">C19</t>
  </si>
  <si>
    <t xml:space="preserve">Lost or stolen tablet or handheld with patient data</t>
  </si>
  <si>
    <t xml:space="preserve">Opportunistic thief</t>
  </si>
  <si>
    <t xml:space="preserve">Mobile device management not evidenced</t>
  </si>
  <si>
    <t xml:space="preserve">Endpoints</t>
  </si>
  <si>
    <t xml:space="preserve">Limited data exposure</t>
  </si>
  <si>
    <t xml:space="preserve">Selected (S15)</t>
  </si>
  <si>
    <t xml:space="preserve">Now retained: mobile endpoints used for EHR access.</t>
  </si>
  <si>
    <t xml:space="preserve">C20</t>
  </si>
  <si>
    <t xml:space="preserve">MFA push-fatigue bypass of remote access</t>
  </si>
  <si>
    <t xml:space="preserve">Push approval without number matching</t>
  </si>
  <si>
    <t xml:space="preserve">CJ5</t>
  </si>
  <si>
    <t xml:space="preserve">Account takeover</t>
  </si>
  <si>
    <t xml:space="preserve">Merged into S1</t>
  </si>
  <si>
    <t xml:space="preserve">Same causal chain as C01.</t>
  </si>
  <si>
    <t xml:space="preserve">C21</t>
  </si>
  <si>
    <t xml:space="preserve">Authorization flaw in patient portal exposes other patients' records</t>
  </si>
  <si>
    <t xml:space="preserve">External actor / patient</t>
  </si>
  <si>
    <t xml:space="preserve">No app testing or WAF</t>
  </si>
  <si>
    <t xml:space="preserve">CJ3 / CJ1</t>
  </si>
  <si>
    <t xml:space="preserve">Bulk record exposure</t>
  </si>
  <si>
    <t xml:space="preserve">Annex B #171</t>
  </si>
  <si>
    <t xml:space="preserve">Selected (S18)</t>
  </si>
  <si>
    <t xml:space="preserve">Public-facing, high privacy impact.</t>
  </si>
  <si>
    <t xml:space="preserve">C22</t>
  </si>
  <si>
    <t xml:space="preserve">Trojanized software update from a supplier</t>
  </si>
  <si>
    <t xml:space="preserve">Supply-chain actor</t>
  </si>
  <si>
    <t xml:space="preserve">Automatic updates, no supplier assurance</t>
  </si>
  <si>
    <t xml:space="preserve">Many hosts</t>
  </si>
  <si>
    <t xml:space="preserve">Enterprise foothold</t>
  </si>
  <si>
    <t xml:space="preserve">Annex B #40</t>
  </si>
  <si>
    <t xml:space="preserve">Selected (S19)</t>
  </si>
  <si>
    <t xml:space="preserve">Distinct from S9 (software path vs. remote-access path).</t>
  </si>
  <si>
    <t xml:space="preserve">C23</t>
  </si>
  <si>
    <t xml:space="preserve">Cloud tenant takeover via token theft or consent phishing</t>
  </si>
  <si>
    <t xml:space="preserve">Token not device-bound; user consent allowed</t>
  </si>
  <si>
    <t xml:space="preserve">CJ5 / CJ7</t>
  </si>
  <si>
    <t xml:space="preserve">Tenant-wide control</t>
  </si>
  <si>
    <t xml:space="preserve">Annex B #29</t>
  </si>
  <si>
    <t xml:space="preserve">Selected (S20)</t>
  </si>
  <si>
    <t xml:space="preserve">Control-plane risk distinct from S4 storage exposure and S1 clinical accounts.</t>
  </si>
  <si>
    <t xml:space="preserve">C24</t>
  </si>
  <si>
    <t xml:space="preserve">Misdirected e-mail/fax or wrong-patient disclosure</t>
  </si>
  <si>
    <t xml:space="preserve">Negligent insider</t>
  </si>
  <si>
    <t xml:space="preserve">No DLP, manual referrals</t>
  </si>
  <si>
    <t xml:space="preserve">Privacy incident</t>
  </si>
  <si>
    <t xml:space="preserve">Annex B #14</t>
  </si>
  <si>
    <t xml:space="preserve">Selected (S21)</t>
  </si>
  <si>
    <t xml:space="preserve">Most frequent privacy incident type.</t>
  </si>
  <si>
    <t xml:space="preserve">C25</t>
  </si>
  <si>
    <t xml:space="preserve">Teleconsultation or clinical messaging intercepted</t>
  </si>
  <si>
    <t xml:space="preserve">Opportunistic intruder</t>
  </si>
  <si>
    <t xml:space="preserve">Open meeting links, consumer apps</t>
  </si>
  <si>
    <t xml:space="preserve">Communications</t>
  </si>
  <si>
    <t xml:space="preserve">Sensitive disclosure</t>
  </si>
  <si>
    <t xml:space="preserve">Annex B #146</t>
  </si>
  <si>
    <t xml:space="preserve">Selected (S22)</t>
  </si>
  <si>
    <t xml:space="preserve">Communication systems flagged in E2.</t>
  </si>
  <si>
    <t xml:space="preserve">C26</t>
  </si>
  <si>
    <t xml:space="preserve">Exposed admin interfaces attacked with stuffed/default credentials</t>
  </si>
  <si>
    <t xml:space="preserve">Internet-exposed management ports</t>
  </si>
  <si>
    <t xml:space="preserve">Infrastructure takeover</t>
  </si>
  <si>
    <t xml:space="preserve">Annex B #82, #90</t>
  </si>
  <si>
    <t xml:space="preserve">Selected (S23)</t>
  </si>
  <si>
    <t xml:space="preserve">Misconfiguration path distinct from S6 (unpatched).</t>
  </si>
  <si>
    <t xml:space="preserve">C27</t>
  </si>
  <si>
    <t xml:space="preserve">Malware on patient-supplied imaging media</t>
  </si>
  <si>
    <t xml:space="preserve">Commodity malware</t>
  </si>
  <si>
    <t xml:space="preserve">Media import without scanning</t>
  </si>
  <si>
    <t xml:space="preserve">CJ2 / CJ8</t>
  </si>
  <si>
    <t xml:space="preserve">Imaging downtime</t>
  </si>
  <si>
    <t xml:space="preserve">Selected (S24)</t>
  </si>
  <si>
    <t xml:space="preserve">Healthcare-specific entry path.</t>
  </si>
  <si>
    <t xml:space="preserve">C28</t>
  </si>
  <si>
    <t xml:space="preserve">Data left on disposed devices and leased equipment</t>
  </si>
  <si>
    <t xml:space="preserve">Downstream buyer</t>
  </si>
  <si>
    <t xml:space="preserve">No certified sanitization</t>
  </si>
  <si>
    <t xml:space="preserve">Retired assets</t>
  </si>
  <si>
    <t xml:space="preserve">Annex B #138</t>
  </si>
  <si>
    <t xml:space="preserve">Selected (S25)</t>
  </si>
  <si>
    <t xml:space="preserve">Lifecycle gap; cheap to fix.</t>
  </si>
  <si>
    <t xml:space="preserve">C29</t>
  </si>
  <si>
    <t xml:space="preserve">Patient data pasted into public generative-AI tools</t>
  </si>
  <si>
    <t xml:space="preserve">Well-intentioned insider</t>
  </si>
  <si>
    <t xml:space="preserve">No AI policy or controls</t>
  </si>
  <si>
    <t xml:space="preserve">Uncontrolled disclosure</t>
  </si>
  <si>
    <t xml:space="preserve">Selected (S26)</t>
  </si>
  <si>
    <t xml:space="preserve">Emerging, high-frequency privacy risk.</t>
  </si>
  <si>
    <t xml:space="preserve">C30</t>
  </si>
  <si>
    <t xml:space="preserve">Help-desk vishing leads to MFA reset</t>
  </si>
  <si>
    <t xml:space="preserve">Social engineer</t>
  </si>
  <si>
    <t xml:space="preserve">Weak reset verification</t>
  </si>
  <si>
    <t xml:space="preserve">Annex B #96</t>
  </si>
  <si>
    <t xml:space="preserve">Selected (S27)</t>
  </si>
  <si>
    <t xml:space="preserve">Bypasses MFA investments in S1; distinct process weakness.</t>
  </si>
  <si>
    <t xml:space="preserve">C31</t>
  </si>
  <si>
    <t xml:space="preserve">Malicious or departing IT admin sabotage</t>
  </si>
  <si>
    <t xml:space="preserve">Privileged insider</t>
  </si>
  <si>
    <t xml:space="preserve">Standing privileges, weak offboarding</t>
  </si>
  <si>
    <t xml:space="preserve">Destructive outage</t>
  </si>
  <si>
    <t xml:space="preserve">Annex B #15</t>
  </si>
  <si>
    <t xml:space="preserve">Selected (S28)</t>
  </si>
  <si>
    <t xml:space="preserve">Low likelihood, extreme impact; key-person dependency.</t>
  </si>
  <si>
    <t xml:space="preserve">C32</t>
  </si>
  <si>
    <t xml:space="preserve">Interception/tampering of HL7/DICOM traffic</t>
  </si>
  <si>
    <t xml:space="preserve">Attacker with internal position</t>
  </si>
  <si>
    <t xml:space="preserve">Cleartext interfaces</t>
  </si>
  <si>
    <t xml:space="preserve">CJ2</t>
  </si>
  <si>
    <t xml:space="preserve">Wrong results</t>
  </si>
  <si>
    <t xml:space="preserve">Annex B #153</t>
  </si>
  <si>
    <t xml:space="preserve">Selected (S29)</t>
  </si>
  <si>
    <t xml:space="preserve">Integrity path distinct from S10 (record-level changes).</t>
  </si>
  <si>
    <t xml:space="preserve">C33</t>
  </si>
  <si>
    <t xml:space="preserve">Look-alike domains and smishing targeting patients</t>
  </si>
  <si>
    <t xml:space="preserve">Fraud group</t>
  </si>
  <si>
    <t xml:space="preserve">No brand monitoring, DMARC unknown</t>
  </si>
  <si>
    <t xml:space="preserve">Patient trust</t>
  </si>
  <si>
    <t xml:space="preserve">Patient fraud</t>
  </si>
  <si>
    <t xml:space="preserve">Appendix A</t>
  </si>
  <si>
    <t xml:space="preserve">Selected (S30)</t>
  </si>
  <si>
    <t xml:space="preserve">Look-alike domain already observed.</t>
  </si>
  <si>
    <t xml:space="preserve">C34</t>
  </si>
  <si>
    <t xml:space="preserve">Mass encryption of hypervisors</t>
  </si>
  <si>
    <t xml:space="preserve">Hypervisor management reachable</t>
  </si>
  <si>
    <t xml:space="preserve">Outage</t>
  </si>
  <si>
    <t xml:space="preserve">Annex B #44</t>
  </si>
  <si>
    <t xml:space="preserve">Merged into S2/S23</t>
  </si>
  <si>
    <t xml:space="preserve">Same outcome as S2; exposure path in S23.</t>
  </si>
  <si>
    <t xml:space="preserve">C35</t>
  </si>
  <si>
    <t xml:space="preserve">Active Directory misconfiguration enables domain takeover</t>
  </si>
  <si>
    <t xml:space="preserve">Any intruder</t>
  </si>
  <si>
    <t xml:space="preserve">No AD audits</t>
  </si>
  <si>
    <t xml:space="preserve">Domain dominance</t>
  </si>
  <si>
    <t xml:space="preserve">Annex B #186</t>
  </si>
  <si>
    <t xml:space="preserve">Merged into S2</t>
  </si>
  <si>
    <t xml:space="preserve">Escalation step within S2 chain; treated by I02.</t>
  </si>
  <si>
    <t xml:space="preserve">C36</t>
  </si>
  <si>
    <t xml:space="preserve">End-of-support workstation operating systems in clinics</t>
  </si>
  <si>
    <t xml:space="preserve">Unsupported OS</t>
  </si>
  <si>
    <t xml:space="preserve">Exploitation</t>
  </si>
  <si>
    <t xml:space="preserve">Annex B #79</t>
  </si>
  <si>
    <t xml:space="preserve">Merged into S6</t>
  </si>
  <si>
    <t xml:space="preserve">Covered by EOL element of S6 and KRI-04.</t>
  </si>
  <si>
    <t xml:space="preserve">C37</t>
  </si>
  <si>
    <t xml:space="preserve">Cryptomining on cloud or server resources</t>
  </si>
  <si>
    <t xml:space="preserve">Weak cloud controls</t>
  </si>
  <si>
    <t xml:space="preserve">Cloud</t>
  </si>
  <si>
    <t xml:space="preserve">Cost, slowdown</t>
  </si>
  <si>
    <t xml:space="preserve">Annex B #48</t>
  </si>
  <si>
    <t xml:space="preserve">Not selected</t>
  </si>
  <si>
    <t xml:space="preserve">Low consequence for mission.</t>
  </si>
  <si>
    <t xml:space="preserve">C38</t>
  </si>
  <si>
    <t xml:space="preserve">Skimming on online payment page</t>
  </si>
  <si>
    <t xml:space="preserve">Third-party scripts</t>
  </si>
  <si>
    <t xml:space="preserve">Online payments</t>
  </si>
  <si>
    <t xml:space="preserve">Card theft</t>
  </si>
  <si>
    <t xml:space="preserve">Annex B #63</t>
  </si>
  <si>
    <t xml:space="preserve">Card processing not evidenced; PCI out of scope.</t>
  </si>
  <si>
    <t xml:space="preserve">C39</t>
  </si>
  <si>
    <t xml:space="preserve">Physical intrusion into clinic server closet</t>
  </si>
  <si>
    <t xml:space="preserve">Thief / intruder</t>
  </si>
  <si>
    <t xml:space="preserve">Weak physical controls</t>
  </si>
  <si>
    <t xml:space="preserve">Clinic equipment</t>
  </si>
  <si>
    <t xml:space="preserve">Theft, tampering</t>
  </si>
  <si>
    <t xml:space="preserve">Annex B #121</t>
  </si>
  <si>
    <t xml:space="preserve">Physical security out of scope; partly covered by S15/S17 encryption.</t>
  </si>
  <si>
    <t xml:space="preserve">C40</t>
  </si>
  <si>
    <t xml:space="preserve">Insufficient logs to prove breach scope</t>
  </si>
  <si>
    <t xml:space="preserve">Short retention</t>
  </si>
  <si>
    <t xml:space="preserve">Unprovable scope</t>
  </si>
  <si>
    <t xml:space="preserve">Annex B #140</t>
  </si>
  <si>
    <t xml:space="preserve">Same control family (I03).</t>
  </si>
  <si>
    <t xml:space="preserve">C41</t>
  </si>
  <si>
    <t xml:space="preserve">Clinician mailbox compromise used to harvest PHI</t>
  </si>
  <si>
    <t xml:space="preserve">Push MFA</t>
  </si>
  <si>
    <t xml:space="preserve">Mail</t>
  </si>
  <si>
    <t xml:space="preserve">Breach</t>
  </si>
  <si>
    <t xml:space="preserve">Annex B #33</t>
  </si>
  <si>
    <t xml:space="preserve">Merged into S1/S20</t>
  </si>
  <si>
    <t xml:space="preserve">Same causal chain.</t>
  </si>
  <si>
    <t xml:space="preserve">C42</t>
  </si>
  <si>
    <t xml:space="preserve">AI scribe SaaS mishandles recordings</t>
  </si>
  <si>
    <t xml:space="preserve">Third party</t>
  </si>
  <si>
    <t xml:space="preserve">Unassessed vendor</t>
  </si>
  <si>
    <t xml:space="preserve">Merged into S26/S9</t>
  </si>
  <si>
    <t xml:space="preserve">Covered by AI governance and vendor risk.</t>
  </si>
  <si>
    <t xml:space="preserve">C43</t>
  </si>
  <si>
    <t xml:space="preserve">Building IoT or CCTV used as foothold</t>
  </si>
  <si>
    <t xml:space="preserve">Unmanaged IoT</t>
  </si>
  <si>
    <t xml:space="preserve">Foothold</t>
  </si>
  <si>
    <t xml:space="preserve">Annex B #43</t>
  </si>
  <si>
    <t xml:space="preserve">Merged into S7</t>
  </si>
  <si>
    <t xml:space="preserve">Same segmentation treatment.</t>
  </si>
  <si>
    <t xml:space="preserve">C44</t>
  </si>
  <si>
    <t xml:space="preserve">Excessive data retention amplifies breach size</t>
  </si>
  <si>
    <t xml:space="preserve">N/A (amplifier)</t>
  </si>
  <si>
    <t xml:space="preserve">No retention schedule</t>
  </si>
  <si>
    <t xml:space="preserve">All data</t>
  </si>
  <si>
    <t xml:space="preserve">Larger breaches</t>
  </si>
  <si>
    <t xml:space="preserve">Annex B #74</t>
  </si>
  <si>
    <t xml:space="preserve">Merged into S17</t>
  </si>
  <si>
    <t xml:space="preserve">Treated by I19.</t>
  </si>
  <si>
    <t xml:space="preserve">C45</t>
  </si>
  <si>
    <t xml:space="preserve">Firewall single point of failure</t>
  </si>
  <si>
    <t xml:space="preserve">Accidental / attacker</t>
  </si>
  <si>
    <t xml:space="preserve">No redundancy</t>
  </si>
  <si>
    <t xml:space="preserve">Annex B #5</t>
  </si>
  <si>
    <t xml:space="preserve">Merged into S16</t>
  </si>
  <si>
    <t xml:space="preserve">Same resilience treatment (I18).</t>
  </si>
  <si>
    <t xml:space="preserve">KRI</t>
  </si>
  <si>
    <t xml:space="preserve">Scenarios</t>
  </si>
  <si>
    <t xml:space="preserve">Measurement</t>
  </si>
  <si>
    <t xml:space="preserve">Data source</t>
  </si>
  <si>
    <t xml:space="preserve">Frequency</t>
  </si>
  <si>
    <t xml:space="preserve">Target</t>
  </si>
  <si>
    <t xml:space="preserve">Warning</t>
  </si>
  <si>
    <t xml:space="preserve">Critical</t>
  </si>
  <si>
    <t xml:space="preserve">KRI-01</t>
  </si>
  <si>
    <t xml:space="preserve">% privileged and remote-access accounts on phishing-resistant MFA</t>
  </si>
  <si>
    <t xml:space="preserve">S1, S8, S9</t>
  </si>
  <si>
    <t xml:space="preserve">Accounts with FIDO2 / total in-scope accounts</t>
  </si>
  <si>
    <t xml:space="preserve">IdP / directory report</t>
  </si>
  <si>
    <t xml:space="preserve">Monthly</t>
  </si>
  <si>
    <t xml:space="preserve">100%</t>
  </si>
  <si>
    <t xml:space="preserve">&lt; 95%</t>
  </si>
  <si>
    <t xml:space="preserve">&lt; 85%</t>
  </si>
  <si>
    <t xml:space="preserve">KRI-02</t>
  </si>
  <si>
    <t xml:space="preserve">Phishing simulation report rate / click rate</t>
  </si>
  <si>
    <t xml:space="preserve">S1, S2</t>
  </si>
  <si>
    <t xml:space="preserve">Reported vs clicked in simulations</t>
  </si>
  <si>
    <t xml:space="preserve">Awareness platform</t>
  </si>
  <si>
    <t xml:space="preserve">Quarterly</t>
  </si>
  <si>
    <t xml:space="preserve">&gt; 70% / &lt; 5%</t>
  </si>
  <si>
    <t xml:space="preserve">&lt; 50% / &gt; 8%</t>
  </si>
  <si>
    <t xml:space="preserve">&lt; 30% / &gt; 15%</t>
  </si>
  <si>
    <t xml:space="preserve">KRI-03</t>
  </si>
  <si>
    <t xml:space="preserve">% critical/known-exploited vulnerabilities remediated within SLA</t>
  </si>
  <si>
    <t xml:space="preserve">S6, S2</t>
  </si>
  <si>
    <t xml:space="preserve">Closed within SLA / total</t>
  </si>
  <si>
    <t xml:space="preserve">Vulnerability scanner</t>
  </si>
  <si>
    <t xml:space="preserve">&gt; 95%</t>
  </si>
  <si>
    <t xml:space="preserve">&lt; 90%</t>
  </si>
  <si>
    <t xml:space="preserve">&lt; 75%</t>
  </si>
  <si>
    <t xml:space="preserve">KRI-04</t>
  </si>
  <si>
    <t xml:space="preserve">Number of unsupported (end-of-life) systems on patient-data or internet-facing networks</t>
  </si>
  <si>
    <t xml:space="preserve">S6, S7</t>
  </si>
  <si>
    <t xml:space="preserve">Count from inventory</t>
  </si>
  <si>
    <t xml:space="preserve">CMDB / scanner</t>
  </si>
  <si>
    <t xml:space="preserve">0</t>
  </si>
  <si>
    <t xml:space="preserve">&gt;= 1</t>
  </si>
  <si>
    <t xml:space="preserve">&gt;= 5</t>
  </si>
  <si>
    <t xml:space="preserve">KRI-05</t>
  </si>
  <si>
    <t xml:space="preserve">Crown-jewel backup restore-test success rate within RTO</t>
  </si>
  <si>
    <t xml:space="preserve">S2, S3, S10</t>
  </si>
  <si>
    <t xml:space="preserve">Successful tests / tests run</t>
  </si>
  <si>
    <t xml:space="preserve">Backup platform, DR test records</t>
  </si>
  <si>
    <t xml:space="preserve">&lt; 80%</t>
  </si>
  <si>
    <t xml:space="preserve">KRI-06</t>
  </si>
  <si>
    <t xml:space="preserve">EDR and log coverage of critical assets</t>
  </si>
  <si>
    <t xml:space="preserve">S2, S8</t>
  </si>
  <si>
    <t xml:space="preserve">Assets reporting / inventory</t>
  </si>
  <si>
    <t xml:space="preserve">EDR console, SIEM</t>
  </si>
  <si>
    <t xml:space="preserve">&gt; 98%</t>
  </si>
  <si>
    <t xml:space="preserve">KRI-07</t>
  </si>
  <si>
    <t xml:space="preserve">Mean time to detect / contain high-severity incidents</t>
  </si>
  <si>
    <t xml:space="preserve">S8, S2</t>
  </si>
  <si>
    <t xml:space="preserve">Median hours from first signal to detection / containment</t>
  </si>
  <si>
    <t xml:space="preserve">MDR reports</t>
  </si>
  <si>
    <t xml:space="preserve">&lt; 1 h / &lt; 4 h</t>
  </si>
  <si>
    <t xml:space="preserve">&gt; 4 h / &gt; 24 h</t>
  </si>
  <si>
    <t xml:space="preserve">&gt; 24 h / &gt; 72 h</t>
  </si>
  <si>
    <t xml:space="preserve">KRI-08</t>
  </si>
  <si>
    <t xml:space="preserve">Publicly accessible cloud storage objects containing health data</t>
  </si>
  <si>
    <t xml:space="preserve">Count from CSPM</t>
  </si>
  <si>
    <t xml:space="preserve">CSPM</t>
  </si>
  <si>
    <t xml:space="preserve">Weekly</t>
  </si>
  <si>
    <t xml:space="preserve">&gt;= 1 with PHI</t>
  </si>
  <si>
    <t xml:space="preserve">KRI-09</t>
  </si>
  <si>
    <t xml:space="preserve">% EHR roles recertified and bulk-access alerts reviewed within 24 h</t>
  </si>
  <si>
    <t xml:space="preserve">S5, S10</t>
  </si>
  <si>
    <t xml:space="preserve">Recertified / total; reviewed / raised</t>
  </si>
  <si>
    <t xml:space="preserve">EHR access analytics, IAM</t>
  </si>
  <si>
    <t xml:space="preserve">KRI-10</t>
  </si>
  <si>
    <t xml:space="preserve">% networked medical devices inventoried and in isolated segments</t>
  </si>
  <si>
    <t xml:space="preserve">Segmented devices / inventoried</t>
  </si>
  <si>
    <t xml:space="preserve">IoMT monitoring, NAC</t>
  </si>
  <si>
    <t xml:space="preserve">Biomedical engineering</t>
  </si>
  <si>
    <t xml:space="preserve">&lt; 70%</t>
  </si>
  <si>
    <t xml:space="preserve">KRI-11</t>
  </si>
  <si>
    <t xml:space="preserve">% critical vendors assessed with current notification clauses</t>
  </si>
  <si>
    <t xml:space="preserve">Assessed / critical vendors</t>
  </si>
  <si>
    <t xml:space="preserve">TPRM register</t>
  </si>
  <si>
    <t xml:space="preserve">Procurement</t>
  </si>
  <si>
    <t xml:space="preserve">KRI-12</t>
  </si>
  <si>
    <t xml:space="preserve">Clinics with tested downtime procedures (last 12 months)</t>
  </si>
  <si>
    <t xml:space="preserve">Clinics tested / 10</t>
  </si>
  <si>
    <t xml:space="preserve">Tabletop records</t>
  </si>
  <si>
    <t xml:space="preserve">Clinical Ops</t>
  </si>
  <si>
    <t xml:space="preserve">Semi-annual</t>
  </si>
  <si>
    <t xml:space="preserve">10/10</t>
  </si>
  <si>
    <t xml:space="preserve">&lt; 8</t>
  </si>
  <si>
    <t xml:space="preserve">&lt; 5</t>
  </si>
  <si>
    <t xml:space="preserve">KRI-13</t>
  </si>
  <si>
    <t xml:space="preserve">Exposed secrets detected / unresolved &gt; 24 h</t>
  </si>
  <si>
    <t xml:space="preserve">Count from secret scanning</t>
  </si>
  <si>
    <t xml:space="preserve">Repository scanner</t>
  </si>
  <si>
    <t xml:space="preserve">CIO (Dev)</t>
  </si>
  <si>
    <t xml:space="preserve">0 unresolved</t>
  </si>
  <si>
    <t xml:space="preserve">&gt;= 1 with PHI scope</t>
  </si>
  <si>
    <t xml:space="preserve">KRI-14</t>
  </si>
  <si>
    <t xml:space="preserve">% bank-detail changes verified by call-back; DMARC policy</t>
  </si>
  <si>
    <t xml:space="preserve">S14, S30</t>
  </si>
  <si>
    <t xml:space="preserve">Verified / total; policy state</t>
  </si>
  <si>
    <t xml:space="preserve">Finance workflow, DNS</t>
  </si>
  <si>
    <t xml:space="preserve">Finance lead</t>
  </si>
  <si>
    <t xml:space="preserve">100%; reject</t>
  </si>
  <si>
    <t xml:space="preserve">&lt; 100%; quarantine</t>
  </si>
  <si>
    <t xml:space="preserve">&lt; 90%; none</t>
  </si>
  <si>
    <t xml:space="preserve">KRI-15</t>
  </si>
  <si>
    <t xml:space="preserve">% mobile devices enrolled and encrypted; certified disposals</t>
  </si>
  <si>
    <t xml:space="preserve">S15, S25</t>
  </si>
  <si>
    <t xml:space="preserve">Enrolled / inventory; certificates / disposals</t>
  </si>
  <si>
    <t xml:space="preserve">MDM, asset register</t>
  </si>
  <si>
    <t xml:space="preserve">KRI-16</t>
  </si>
  <si>
    <t xml:space="preserve">Result of hub/WAN failover test (clinic EHR read access)</t>
  </si>
  <si>
    <t xml:space="preserve">Clinics retaining access during test</t>
  </si>
  <si>
    <t xml:space="preserve">DR test records</t>
  </si>
  <si>
    <t xml:space="preserve">CIO (Infra)</t>
  </si>
  <si>
    <t xml:space="preserve">Annual</t>
  </si>
  <si>
    <t xml:space="preserve">&lt; 10</t>
  </si>
  <si>
    <t xml:space="preserve">&lt; 7</t>
  </si>
  <si>
    <t xml:space="preserve">KRI-17</t>
  </si>
  <si>
    <t xml:space="preserve">Attempts to upload data to unapproved AI services</t>
  </si>
  <si>
    <t xml:space="preserve">Blocked/alerted events per month</t>
  </si>
  <si>
    <t xml:space="preserve">Web proxy / DLP</t>
  </si>
  <si>
    <t xml:space="preserve">Declining trend</t>
  </si>
  <si>
    <t xml:space="preserve">Rising 2 months</t>
  </si>
  <si>
    <t xml:space="preserve">PHI upload confirmed</t>
  </si>
  <si>
    <t xml:space="preserve">KRI-18</t>
  </si>
  <si>
    <t xml:space="preserve">% help-desk resets passing verification audit</t>
  </si>
  <si>
    <t xml:space="preserve">Sampled resets compliant / sampled</t>
  </si>
  <si>
    <t xml:space="preserve">Ticketing system</t>
  </si>
  <si>
    <t xml:space="preserve">&lt; 98%</t>
  </si>
  <si>
    <t xml:space="preserve">KRI-19</t>
  </si>
  <si>
    <t xml:space="preserve">Open critical/high findings on patient-facing applications</t>
  </si>
  <si>
    <t xml:space="preserve">Count past 30 days</t>
  </si>
  <si>
    <t xml:space="preserve">Pen-test tracker</t>
  </si>
  <si>
    <t xml:space="preserve">CIO (App owner)</t>
  </si>
  <si>
    <t xml:space="preserve">&gt;= 3</t>
  </si>
  <si>
    <t xml:space="preserve">KRI-20</t>
  </si>
  <si>
    <t xml:space="preserve">Internet-exposed management interfaces</t>
  </si>
  <si>
    <t xml:space="preserve">S23, S6</t>
  </si>
  <si>
    <t xml:space="preserve">Count from attack-surface monitoring</t>
  </si>
  <si>
    <t xml:space="preserve">EASM tool</t>
  </si>
  <si>
    <t xml:space="preserve">&gt;= 1 without MFA</t>
  </si>
  <si>
    <t xml:space="preserve">Source</t>
  </si>
  <si>
    <t xml:space="preserve">Basis</t>
  </si>
  <si>
    <t xml:space="preserve">Content used</t>
  </si>
  <si>
    <t xml:space="preserve">E1</t>
  </si>
  <si>
    <t xml:space="preserve">MediBec business case v2.0b, s.3 - Background and healthcare profile</t>
  </si>
  <si>
    <t xml:space="preserve">Documented (case)</t>
  </si>
  <si>
    <t xml:space="preserve">HQ Montreal; 10 clinics (Montreal, Quebec City, Gatineau, Saguenay); EHR, radiology, lab, pharmacy, billing, communications; sensitive health data.</t>
  </si>
  <si>
    <t xml:space="preserve">E2</t>
  </si>
  <si>
    <t xml:space="preserve">Business case s.4 - Technology environment table</t>
  </si>
  <si>
    <t xml:space="preserve">Central network hub in Montreal, WAN fibre to clinics, firewalls, IDS/IPS, antivirus/antimalware; Montreal data centre, local clinic storage, on-site and off-site backups, encrypted storage; cloud-based remote access; interconnected medical equipment.</t>
  </si>
  <si>
    <t xml:space="preserve">E3</t>
  </si>
  <si>
    <t xml:space="preserve">Business case s.4 - Operating model and budget context</t>
  </si>
  <si>
    <t xml:space="preserve">15-person IT department, 2 dedicated cybersecurity staff; stated IT budget CAD 100M incl. salaries; 2024-2030 roadmap; medical-device certification and clinical change constraints.</t>
  </si>
  <si>
    <t xml:space="preserve">E4</t>
  </si>
  <si>
    <t xml:space="preserve">Business case s.5 - Threat context</t>
  </si>
  <si>
    <t xml:space="preserve">Multiple unsuccessful attack attempts since 2020, increasing recently; no confirmed successful breach; open questions on log sufficiency, device inventories, cloud configuration.</t>
  </si>
  <si>
    <t xml:space="preserve">E5</t>
  </si>
  <si>
    <t xml:space="preserve">Business case s.8 - Risk appetite statement</t>
  </si>
  <si>
    <t xml:space="preserve">Low appetite for patient safety, health-data confidentiality, compliance, public trust; moderate for governed innovation; normalized tolerance 0.40; residual &gt;0.25 executive review, &gt;0.40 Board acceptance.</t>
  </si>
  <si>
    <t xml:space="preserve">E6</t>
  </si>
  <si>
    <t xml:space="preserve">Business case s.6 and Appendices A-B - Incident injects and technical evidence</t>
  </si>
  <si>
    <t xml:space="preserve">Exercise evidence (illustrative - validate)</t>
  </si>
  <si>
    <t xml:space="preserve">Phishing with .docm macro; EDR PowerShell alert closed as low severity; remote login from unusual geography with MFA push approved; cloud medical_image_export.zip downloaded from unknown IP; ehr-sync-svc service account unusual query volume; clinic backup failures.</t>
  </si>
  <si>
    <t xml:space="preserve">E7</t>
  </si>
  <si>
    <t xml:space="preserve">Business case s.7 - Audit universe</t>
  </si>
  <si>
    <t xml:space="preserve">Auditable areas incl. EHR access/IAM, cloud/remote access, backup, medical device/IoT, Wi-Fi, patching, IDS/SIEM, privacy, third parties, API keys, awareness, remediation governance.</t>
  </si>
  <si>
    <t xml:space="preserve">E8</t>
  </si>
  <si>
    <t xml:space="preserve">Business case s.9 - Scenario library MED-CYR-01 to 15</t>
  </si>
  <si>
    <t xml:space="preserve">Fifteen candidate scenario themes with suggested control families.</t>
  </si>
  <si>
    <t xml:space="preserve">E9</t>
  </si>
  <si>
    <t xml:space="preserve">Business case Instructor Annex A - Detailed scenarios</t>
  </si>
  <si>
    <t xml:space="preserve">Illustrative values (calibration only)</t>
  </si>
  <si>
    <t xml:space="preserve">Illustrative probabilities, damages, resilience, CVSS v3.1 and budgets. Used only as a calibration cross-check; not adopted as evidence.</t>
  </si>
  <si>
    <t xml:space="preserve">E10</t>
  </si>
  <si>
    <t xml:space="preserve">Project KB - Cybersecurity Risk Assessment Excel Guide v1.0c</t>
  </si>
  <si>
    <t xml:space="preserve">Methodology</t>
  </si>
  <si>
    <t xml:space="preserve">Authoritative risk-index formulas; CVSS v4.0; multiplication factor 1,000 in worked example; reductions must stay within 0-1.</t>
  </si>
  <si>
    <t xml:space="preserve">E11</t>
  </si>
  <si>
    <t xml:space="preserve">Project KB - Master task specification / Scenario development guide</t>
  </si>
  <si>
    <t xml:space="preserve">Scenario construction standard, 20-to-10 screening, reporting structure, QC checklist.</t>
  </si>
  <si>
    <t xml:space="preserve">E12</t>
  </si>
  <si>
    <t xml:space="preserve">FIRST CVSS v4.0 specification (computed with the 'cvss' Python library)</t>
  </si>
  <si>
    <t xml:space="preserve">External reference</t>
  </si>
  <si>
    <t xml:space="preserve">Base scores (CVSS-B) computed from the documented vectors.</t>
  </si>
</sst>
</file>

<file path=xl/styles.xml><?xml version="1.0" encoding="utf-8"?>
<styleSheet xmlns="http://schemas.openxmlformats.org/spreadsheetml/2006/main">
  <numFmts count="8">
    <numFmt numFmtId="164" formatCode="General"/>
    <numFmt numFmtId="165" formatCode="0.00"/>
    <numFmt numFmtId="166" formatCode="0.0"/>
    <numFmt numFmtId="167" formatCode="#,##0"/>
    <numFmt numFmtId="168" formatCode="\$#,##0"/>
    <numFmt numFmtId="169" formatCode="0"/>
    <numFmt numFmtId="170" formatCode="\$#,##0;&quot;($&quot;#,##0\);\-"/>
    <numFmt numFmtId="171" formatCode="0.0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color rgb="FFFFFFFF"/>
      <name val="Arial"/>
      <family val="0"/>
      <charset val="1"/>
    </font>
    <font>
      <sz val="10"/>
      <color rgb="FF008000"/>
      <name val="Arial"/>
      <family val="0"/>
      <charset val="1"/>
    </font>
    <font>
      <b val="true"/>
      <sz val="10"/>
      <name val="Arial"/>
      <family val="0"/>
      <charset val="1"/>
    </font>
    <font>
      <sz val="10"/>
      <color rgb="FF0000FF"/>
      <name val="Arial"/>
      <family val="0"/>
      <charset val="1"/>
    </font>
    <font>
      <sz val="10"/>
      <name val="Arial"/>
      <family val="2"/>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7" fillId="0" borderId="1" xfId="0" applyFont="true" applyBorder="true" applyAlignment="true" applyProtection="true">
      <alignment horizontal="general" vertical="top" textRotation="0" wrapText="true" indent="0" shrinkToFit="false"/>
      <protection locked="true" hidden="false"/>
    </xf>
    <xf numFmtId="165" fontId="7" fillId="0" borderId="1" xfId="0" applyFont="true" applyBorder="true" applyAlignment="true" applyProtection="true">
      <alignment horizontal="general" vertical="bottom" textRotation="0" wrapText="false" indent="0" shrinkToFit="false"/>
      <protection locked="true" hidden="false"/>
    </xf>
    <xf numFmtId="166" fontId="7" fillId="0" borderId="1" xfId="0" applyFont="true" applyBorder="true" applyAlignment="true" applyProtection="true">
      <alignment horizontal="general" vertical="bottom" textRotation="0" wrapText="false" indent="0" shrinkToFit="false"/>
      <protection locked="true" hidden="false"/>
    </xf>
    <xf numFmtId="167" fontId="7" fillId="0" borderId="1" xfId="0" applyFont="true" applyBorder="true" applyAlignment="true" applyProtection="true">
      <alignment horizontal="general" vertical="bottom" textRotation="0" wrapText="false" indent="0" shrinkToFit="false"/>
      <protection locked="true" hidden="false"/>
    </xf>
    <xf numFmtId="167" fontId="5" fillId="0" borderId="1" xfId="0" applyFont="true" applyBorder="true" applyAlignment="true" applyProtection="true">
      <alignment horizontal="general" vertical="bottom" textRotation="0" wrapText="false" indent="0" shrinkToFit="false"/>
      <protection locked="true" hidden="false"/>
    </xf>
    <xf numFmtId="165" fontId="5" fillId="0" borderId="1" xfId="0" applyFont="true" applyBorder="true" applyAlignment="true" applyProtection="true">
      <alignment horizontal="general" vertical="bottom" textRotation="0" wrapText="false" indent="0" shrinkToFit="false"/>
      <protection locked="true" hidden="false"/>
    </xf>
    <xf numFmtId="168" fontId="7"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7" fontId="8" fillId="0" borderId="1" xfId="0" applyFont="true" applyBorder="true" applyAlignment="true" applyProtection="true">
      <alignment horizontal="general" vertical="bottom" textRotation="0" wrapText="false" indent="0" shrinkToFit="false"/>
      <protection locked="true" hidden="false"/>
    </xf>
    <xf numFmtId="168" fontId="8" fillId="0" borderId="1" xfId="0" applyFont="true" applyBorder="true" applyAlignment="true" applyProtection="true">
      <alignment horizontal="general" vertical="bottom" textRotation="0" wrapText="false" indent="0" shrinkToFit="false"/>
      <protection locked="true" hidden="false"/>
    </xf>
    <xf numFmtId="165" fontId="8" fillId="0" borderId="1" xfId="0" applyFont="true" applyBorder="true" applyAlignment="true" applyProtection="true">
      <alignment horizontal="general" vertical="bottom" textRotation="0" wrapText="false" indent="0" shrinkToFit="false"/>
      <protection locked="true" hidden="false"/>
    </xf>
    <xf numFmtId="164" fontId="9" fillId="3"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top" textRotation="0" wrapText="true" indent="0" shrinkToFit="false"/>
      <protection locked="true" hidden="false"/>
    </xf>
    <xf numFmtId="165" fontId="9" fillId="0" borderId="1" xfId="0" applyFont="true" applyBorder="true" applyAlignment="true" applyProtection="true">
      <alignment horizontal="general" vertical="bottom" textRotation="0" wrapText="false" indent="0" shrinkToFit="false"/>
      <protection locked="true" hidden="false"/>
    </xf>
    <xf numFmtId="166" fontId="9" fillId="0" borderId="1" xfId="0" applyFont="true" applyBorder="true" applyAlignment="true" applyProtection="true">
      <alignment horizontal="general" vertical="bottom" textRotation="0" wrapText="false" indent="0" shrinkToFit="false"/>
      <protection locked="true" hidden="false"/>
    </xf>
    <xf numFmtId="168" fontId="9" fillId="0" borderId="1" xfId="0" applyFont="true" applyBorder="true" applyAlignment="true" applyProtection="true">
      <alignment horizontal="general" vertical="bottom" textRotation="0" wrapText="false" indent="0" shrinkToFit="false"/>
      <protection locked="true" hidden="false"/>
    </xf>
    <xf numFmtId="168" fontId="5" fillId="0" borderId="1" xfId="0" applyFont="true" applyBorder="true" applyAlignment="true" applyProtection="true">
      <alignment horizontal="general" vertical="bottom" textRotation="0" wrapText="false" indent="0" shrinkToFit="false"/>
      <protection locked="true" hidden="false"/>
    </xf>
    <xf numFmtId="169" fontId="5" fillId="0" borderId="1" xfId="0" applyFont="true" applyBorder="true" applyAlignment="true" applyProtection="true">
      <alignment horizontal="general" vertical="bottom" textRotation="0" wrapText="false" indent="0" shrinkToFit="false"/>
      <protection locked="true" hidden="false"/>
    </xf>
    <xf numFmtId="169" fontId="9" fillId="0" borderId="1" xfId="0" applyFont="true" applyBorder="true" applyAlignment="true" applyProtection="true">
      <alignment horizontal="general" vertical="bottom" textRotation="0" wrapText="false" indent="0" shrinkToFit="false"/>
      <protection locked="true" hidden="false"/>
    </xf>
    <xf numFmtId="170" fontId="5" fillId="0" borderId="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71" fontId="5" fillId="0"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4CCCC"/>
        </patternFill>
      </fill>
    </dxf>
    <dxf>
      <fill>
        <patternFill>
          <bgColor rgb="FFFFF2CC"/>
        </patternFill>
      </fill>
    </dxf>
    <dxf>
      <fill>
        <patternFill>
          <bgColor rgb="FFD9EAD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0"/>
  </cols>
  <sheetData>
    <row r="1" customFormat="false" ht="17.35" hidden="false" customHeight="false" outlineLevel="0" collapsed="false">
      <c r="A1" s="2" t="s">
        <v>0</v>
      </c>
    </row>
    <row r="3" customFormat="false" ht="15" hidden="false" customHeight="false" outlineLevel="0" collapsed="false">
      <c r="A3" s="3" t="s">
        <v>1</v>
      </c>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row>
    <row r="7" customFormat="false" ht="15" hidden="false" customHeight="false" outlineLevel="0" collapsed="false">
      <c r="A7" s="3" t="s">
        <v>4</v>
      </c>
    </row>
    <row r="8" customFormat="false" ht="15" hidden="false" customHeight="false" outlineLevel="0" collapsed="false">
      <c r="A8" s="3"/>
    </row>
    <row r="9" customFormat="false" ht="15" hidden="false" customHeight="false" outlineLevel="0" collapsed="false">
      <c r="A9" s="3" t="s">
        <v>5</v>
      </c>
    </row>
    <row r="10" customFormat="false" ht="15" hidden="false" customHeight="false" outlineLevel="0" collapsed="false">
      <c r="A10" s="3" t="s">
        <v>6</v>
      </c>
    </row>
    <row r="11" customFormat="false" ht="15" hidden="false" customHeight="false" outlineLevel="0" collapsed="false">
      <c r="A11" s="3" t="s">
        <v>7</v>
      </c>
    </row>
    <row r="12" customFormat="false" ht="15" hidden="false" customHeight="false" outlineLevel="0" collapsed="false">
      <c r="A12" s="3"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3"/>
    </row>
    <row r="18" customFormat="false" ht="15" hidden="false" customHeight="false" outlineLevel="0" collapsed="false">
      <c r="A18" s="3" t="s">
        <v>13</v>
      </c>
    </row>
    <row r="19" customFormat="false" ht="15" hidden="false" customHeight="false" outlineLevel="0" collapsed="false">
      <c r="A19" s="3" t="s">
        <v>14</v>
      </c>
    </row>
    <row r="20" customFormat="false" ht="15" hidden="false" customHeight="false" outlineLevel="0" collapsed="false">
      <c r="A20" s="3" t="s">
        <v>15</v>
      </c>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row r="24" customFormat="false" ht="15" hidden="false" customHeight="false" outlineLevel="0" collapsed="false">
      <c r="A24" s="3"/>
    </row>
    <row r="25" customFormat="false" ht="15" hidden="false" customHeight="false" outlineLevel="0" collapsed="false">
      <c r="A25" s="3"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52"/>
    <col collapsed="false" customWidth="true" hidden="false" outlineLevel="0" max="3" min="3" style="1" width="7"/>
    <col collapsed="false" customWidth="true" hidden="false" outlineLevel="0" max="4" min="4" style="1" width="8"/>
    <col collapsed="false" customWidth="true" hidden="false" outlineLevel="0" max="5" min="5" style="1" width="7"/>
    <col collapsed="false" customWidth="true" hidden="false" outlineLevel="0" max="7" min="6" style="1" width="6"/>
    <col collapsed="false" customWidth="true" hidden="false" outlineLevel="0" max="9" min="8" style="1" width="7"/>
    <col collapsed="false" customWidth="true" hidden="false" outlineLevel="0" max="11" min="10" style="1" width="8"/>
    <col collapsed="false" customWidth="true" hidden="false" outlineLevel="0" max="13" min="12" style="1" width="11"/>
    <col collapsed="false" customWidth="true" hidden="false" outlineLevel="0" max="14" min="14" style="1" width="10"/>
    <col collapsed="false" customWidth="true" hidden="false" outlineLevel="0" max="15" min="15" style="1" width="12"/>
    <col collapsed="false" customWidth="true" hidden="false" outlineLevel="0" max="17" min="16" style="1" width="9"/>
    <col collapsed="false" customWidth="true" hidden="false" outlineLevel="0" max="19" min="18" style="1" width="11"/>
    <col collapsed="false" customWidth="true" hidden="false" outlineLevel="0" max="20" min="20" style="1" width="10"/>
    <col collapsed="false" customWidth="true" hidden="false" outlineLevel="0" max="21" min="21" style="1" width="24"/>
    <col collapsed="false" customWidth="true" hidden="false" outlineLevel="0" max="22" min="22" style="1" width="12"/>
    <col collapsed="false" customWidth="true" hidden="false" outlineLevel="0" max="23" min="23" style="1" width="10"/>
  </cols>
  <sheetData>
    <row r="1" customFormat="false" ht="17.35" hidden="false" customHeight="false" outlineLevel="0" collapsed="false">
      <c r="A1" s="2" t="s">
        <v>20</v>
      </c>
    </row>
    <row r="2" customFormat="false" ht="15" hidden="false" customHeight="false" outlineLevel="0" collapsed="false">
      <c r="A2" s="3" t="s">
        <v>21</v>
      </c>
    </row>
    <row r="4" customFormat="false" ht="35.05" hidden="false" customHeight="false" outlineLevel="0" collapsed="false">
      <c r="A4" s="4" t="s">
        <v>22</v>
      </c>
      <c r="B4" s="4" t="s">
        <v>23</v>
      </c>
      <c r="C4" s="4" t="s">
        <v>24</v>
      </c>
      <c r="D4" s="4" t="s">
        <v>25</v>
      </c>
      <c r="E4" s="4" t="s">
        <v>26</v>
      </c>
      <c r="F4" s="4" t="s">
        <v>27</v>
      </c>
      <c r="G4" s="4" t="s">
        <v>28</v>
      </c>
      <c r="H4" s="4" t="s">
        <v>29</v>
      </c>
      <c r="I4" s="4" t="s">
        <v>30</v>
      </c>
      <c r="J4" s="4" t="s">
        <v>31</v>
      </c>
      <c r="K4" s="4" t="s">
        <v>32</v>
      </c>
      <c r="L4" s="4" t="s">
        <v>33</v>
      </c>
      <c r="M4" s="4" t="s">
        <v>34</v>
      </c>
      <c r="N4" s="4" t="s">
        <v>35</v>
      </c>
      <c r="O4" s="4" t="s">
        <v>36</v>
      </c>
      <c r="P4" s="4" t="s">
        <v>37</v>
      </c>
      <c r="Q4" s="4" t="s">
        <v>38</v>
      </c>
      <c r="R4" s="4" t="s">
        <v>39</v>
      </c>
      <c r="S4" s="4" t="s">
        <v>40</v>
      </c>
      <c r="T4" s="4" t="s">
        <v>41</v>
      </c>
      <c r="U4" s="4" t="s">
        <v>42</v>
      </c>
      <c r="V4" s="4" t="s">
        <v>43</v>
      </c>
      <c r="W4" s="4" t="s">
        <v>44</v>
      </c>
    </row>
    <row r="5" customFormat="false" ht="23.85" hidden="false" customHeight="false" outlineLevel="0" collapsed="false">
      <c r="A5" s="5" t="str">
        <f aca="false">Inputs!A4</f>
        <v>S1</v>
      </c>
      <c r="B5" s="6" t="str">
        <f aca="false">Inputs!B4</f>
        <v>Credential compromise of clinical administrator accounts through phishing and MFA fatigue</v>
      </c>
      <c r="C5" s="7" t="n">
        <f aca="false">Inputs!C4</f>
        <v>0.85</v>
      </c>
      <c r="D5" s="7" t="n">
        <f aca="false">Inputs!D4</f>
        <v>0.55</v>
      </c>
      <c r="E5" s="8" t="n">
        <f aca="false">Inputs!J4</f>
        <v>9.3</v>
      </c>
      <c r="F5" s="7" t="n">
        <f aca="false">Inputs!E4</f>
        <v>0.55</v>
      </c>
      <c r="G5" s="7" t="n">
        <f aca="false">Inputs!F4</f>
        <v>0.85</v>
      </c>
      <c r="H5" s="7" t="n">
        <f aca="false">Inputs!H4</f>
        <v>0.85</v>
      </c>
      <c r="I5" s="7" t="n">
        <f aca="false">Inputs!G4</f>
        <v>0.4</v>
      </c>
      <c r="J5" s="7" t="n">
        <f aca="false">Parameters!$B$4</f>
        <v>0.3</v>
      </c>
      <c r="K5" s="9" t="n">
        <f aca="false">Parameters!$B$5</f>
        <v>1000</v>
      </c>
      <c r="L5" s="10" t="n">
        <f aca="false">C5*D5*E5*((F5+G5)/2)*H5/I5*K5</f>
        <v>6467.278125</v>
      </c>
      <c r="M5" s="10" t="n">
        <f aca="false">C5*D5*E5*J5*H5/I5*K5</f>
        <v>2771.690625</v>
      </c>
      <c r="N5" s="11" t="n">
        <f aca="false">L5/M5</f>
        <v>2.33333333333333</v>
      </c>
      <c r="O5" s="12" t="n">
        <f aca="false">Portfolio!K27</f>
        <v>123422.969187675</v>
      </c>
      <c r="P5" s="7" t="n">
        <f aca="false">Inputs!K4</f>
        <v>0.8</v>
      </c>
      <c r="Q5" s="7" t="n">
        <f aca="false">Inputs!L4</f>
        <v>0.75</v>
      </c>
      <c r="R5" s="10" t="n">
        <f aca="false">L5*P5*Q5</f>
        <v>3880.366875</v>
      </c>
      <c r="S5" s="10" t="n">
        <f aca="false">L5-R5</f>
        <v>2586.91125</v>
      </c>
      <c r="T5" s="11" t="n">
        <f aca="false">S5/M5</f>
        <v>0.933333333333333</v>
      </c>
      <c r="U5" s="13" t="str">
        <f aca="false">IF(T5&lt;Parameters!$B$6,"Below tolerance",IF(T5&lt;=Parameters!$B$7,"Approximately at tolerance","Above tolerance"))</f>
        <v>Approximately at tolerance</v>
      </c>
      <c r="V5" s="11" t="n">
        <f aca="false">IF(O5=0,0,(L5-S5)/O5*1000)</f>
        <v>31.4395845484771</v>
      </c>
      <c r="W5" s="13" t="str">
        <f aca="false">IF(AND(P5&gt;=0,P5&lt;=1,Q5&gt;=0,Q5&lt;=1),"OK","CHECK")</f>
        <v>OK</v>
      </c>
    </row>
    <row r="6" customFormat="false" ht="23.85" hidden="false" customHeight="false" outlineLevel="0" collapsed="false">
      <c r="A6" s="5" t="str">
        <f aca="false">Inputs!A5</f>
        <v>S2</v>
      </c>
      <c r="B6" s="6" t="str">
        <f aca="false">Inputs!B5</f>
        <v>Ransomware disrupting EHR access and clinic operations across the network</v>
      </c>
      <c r="C6" s="7" t="n">
        <f aca="false">Inputs!C5</f>
        <v>0.75</v>
      </c>
      <c r="D6" s="7" t="n">
        <f aca="false">Inputs!D5</f>
        <v>0.5</v>
      </c>
      <c r="E6" s="8" t="n">
        <f aca="false">Inputs!J5</f>
        <v>9.3</v>
      </c>
      <c r="F6" s="7" t="n">
        <f aca="false">Inputs!E5</f>
        <v>0.7</v>
      </c>
      <c r="G6" s="7" t="n">
        <f aca="false">Inputs!F5</f>
        <v>0.95</v>
      </c>
      <c r="H6" s="7" t="n">
        <f aca="false">Inputs!H5</f>
        <v>0.95</v>
      </c>
      <c r="I6" s="7" t="n">
        <f aca="false">Inputs!G5</f>
        <v>0.35</v>
      </c>
      <c r="J6" s="7" t="n">
        <f aca="false">Parameters!$B$4</f>
        <v>0.3</v>
      </c>
      <c r="K6" s="9" t="n">
        <f aca="false">Parameters!$B$5</f>
        <v>1000</v>
      </c>
      <c r="L6" s="10" t="n">
        <f aca="false">C6*D6*E6*((F6+G6)/2)*H6/I6*K6</f>
        <v>7809.50892857143</v>
      </c>
      <c r="M6" s="10" t="n">
        <f aca="false">C6*D6*E6*J6*H6/I6*K6</f>
        <v>2839.82142857143</v>
      </c>
      <c r="N6" s="11" t="n">
        <f aca="false">L6/M6</f>
        <v>2.75</v>
      </c>
      <c r="O6" s="12" t="n">
        <f aca="false">Portfolio!L27</f>
        <v>356345.191409897</v>
      </c>
      <c r="P6" s="7" t="n">
        <f aca="false">Inputs!K5</f>
        <v>0.75</v>
      </c>
      <c r="Q6" s="7" t="n">
        <f aca="false">Inputs!L5</f>
        <v>0.75</v>
      </c>
      <c r="R6" s="10" t="n">
        <f aca="false">L6*P6*Q6</f>
        <v>4392.84877232143</v>
      </c>
      <c r="S6" s="10" t="n">
        <f aca="false">L6-R6</f>
        <v>3416.66015625</v>
      </c>
      <c r="T6" s="11" t="n">
        <f aca="false">S6/M6</f>
        <v>1.203125</v>
      </c>
      <c r="U6" s="13" t="str">
        <f aca="false">IF(T6&lt;Parameters!$B$6,"Below tolerance",IF(T6&lt;=Parameters!$B$7,"Approximately at tolerance","Above tolerance"))</f>
        <v>Above tolerance</v>
      </c>
      <c r="V6" s="11" t="n">
        <f aca="false">IF(O6=0,0,(L6-S6)/O6*1000)</f>
        <v>12.3275096120728</v>
      </c>
      <c r="W6" s="13" t="str">
        <f aca="false">IF(AND(P6&gt;=0,P6&lt;=1,Q6&gt;=0,Q6&lt;=1),"OK","CHECK")</f>
        <v>OK</v>
      </c>
    </row>
    <row r="7" customFormat="false" ht="23.85" hidden="false" customHeight="false" outlineLevel="0" collapsed="false">
      <c r="A7" s="5" t="str">
        <f aca="false">Inputs!A6</f>
        <v>S3</v>
      </c>
      <c r="B7" s="6" t="str">
        <f aca="false">Inputs!B6</f>
        <v>Backup environment compromised, preventing recovery after a destructive attack</v>
      </c>
      <c r="C7" s="7" t="n">
        <f aca="false">Inputs!C6</f>
        <v>0.55</v>
      </c>
      <c r="D7" s="7" t="n">
        <f aca="false">Inputs!D6</f>
        <v>0.5</v>
      </c>
      <c r="E7" s="8" t="n">
        <f aca="false">Inputs!J6</f>
        <v>9.2</v>
      </c>
      <c r="F7" s="7" t="n">
        <f aca="false">Inputs!E6</f>
        <v>0.6</v>
      </c>
      <c r="G7" s="7" t="n">
        <f aca="false">Inputs!F6</f>
        <v>0.9</v>
      </c>
      <c r="H7" s="7" t="n">
        <f aca="false">Inputs!H6</f>
        <v>0.9</v>
      </c>
      <c r="I7" s="7" t="n">
        <f aca="false">Inputs!G6</f>
        <v>0.35</v>
      </c>
      <c r="J7" s="7" t="n">
        <f aca="false">Parameters!$B$4</f>
        <v>0.3</v>
      </c>
      <c r="K7" s="9" t="n">
        <f aca="false">Parameters!$B$5</f>
        <v>1000</v>
      </c>
      <c r="L7" s="10" t="n">
        <f aca="false">C7*D7*E7*((F7+G7)/2)*H7/I7*K7</f>
        <v>4879.28571428572</v>
      </c>
      <c r="M7" s="10" t="n">
        <f aca="false">C7*D7*E7*J7*H7/I7*K7</f>
        <v>1951.71428571429</v>
      </c>
      <c r="N7" s="11" t="n">
        <f aca="false">L7/M7</f>
        <v>2.5</v>
      </c>
      <c r="O7" s="12" t="n">
        <f aca="false">Portfolio!M27</f>
        <v>267145.191409897</v>
      </c>
      <c r="P7" s="7" t="n">
        <f aca="false">Inputs!K6</f>
        <v>0.8</v>
      </c>
      <c r="Q7" s="7" t="n">
        <f aca="false">Inputs!L6</f>
        <v>0.85</v>
      </c>
      <c r="R7" s="10" t="n">
        <f aca="false">L7*P7*Q7</f>
        <v>3317.91428571429</v>
      </c>
      <c r="S7" s="10" t="n">
        <f aca="false">L7-R7</f>
        <v>1561.37142857143</v>
      </c>
      <c r="T7" s="11" t="n">
        <f aca="false">S7/M7</f>
        <v>0.8</v>
      </c>
      <c r="U7" s="13" t="str">
        <f aca="false">IF(T7&lt;Parameters!$B$6,"Below tolerance",IF(T7&lt;=Parameters!$B$7,"Approximately at tolerance","Above tolerance"))</f>
        <v>Below tolerance</v>
      </c>
      <c r="V7" s="11" t="n">
        <f aca="false">IF(O7=0,0,(L7-S7)/O7*1000)</f>
        <v>12.419891476255</v>
      </c>
      <c r="W7" s="13" t="str">
        <f aca="false">IF(AND(P7&gt;=0,P7&lt;=1,Q7&gt;=0,Q7&lt;=1),"OK","CHECK")</f>
        <v>OK</v>
      </c>
    </row>
    <row r="8" customFormat="false" ht="23.85" hidden="false" customHeight="false" outlineLevel="0" collapsed="false">
      <c r="A8" s="5" t="str">
        <f aca="false">Inputs!A7</f>
        <v>S4</v>
      </c>
      <c r="B8" s="6" t="str">
        <f aca="false">Inputs!B7</f>
        <v>Cloud medical-image transfer storage exposed, enabling bulk health-data exfiltration</v>
      </c>
      <c r="C8" s="7" t="n">
        <f aca="false">Inputs!C7</f>
        <v>0.6</v>
      </c>
      <c r="D8" s="7" t="n">
        <f aca="false">Inputs!D7</f>
        <v>0.45</v>
      </c>
      <c r="E8" s="8" t="n">
        <f aca="false">Inputs!J7</f>
        <v>8.7</v>
      </c>
      <c r="F8" s="7" t="n">
        <f aca="false">Inputs!E7</f>
        <v>0.55</v>
      </c>
      <c r="G8" s="7" t="n">
        <f aca="false">Inputs!F7</f>
        <v>0.8</v>
      </c>
      <c r="H8" s="7" t="n">
        <f aca="false">Inputs!H7</f>
        <v>0.75</v>
      </c>
      <c r="I8" s="7" t="n">
        <f aca="false">Inputs!G7</f>
        <v>0.4</v>
      </c>
      <c r="J8" s="7" t="n">
        <f aca="false">Parameters!$B$4</f>
        <v>0.3</v>
      </c>
      <c r="K8" s="9" t="n">
        <f aca="false">Parameters!$B$5</f>
        <v>1000</v>
      </c>
      <c r="L8" s="10" t="n">
        <f aca="false">C8*D8*E8*((F8+G8)/2)*H8/I8*K8</f>
        <v>2972.953125</v>
      </c>
      <c r="M8" s="10" t="n">
        <f aca="false">C8*D8*E8*J8*H8/I8*K8</f>
        <v>1321.3125</v>
      </c>
      <c r="N8" s="11" t="n">
        <f aca="false">L8/M8</f>
        <v>2.25</v>
      </c>
      <c r="O8" s="12" t="n">
        <f aca="false">Portfolio!N27</f>
        <v>154470.588235294</v>
      </c>
      <c r="P8" s="7" t="n">
        <f aca="false">Inputs!K7</f>
        <v>0.85</v>
      </c>
      <c r="Q8" s="7" t="n">
        <f aca="false">Inputs!L7</f>
        <v>0.7</v>
      </c>
      <c r="R8" s="10" t="n">
        <f aca="false">L8*P8*Q8</f>
        <v>1768.907109375</v>
      </c>
      <c r="S8" s="10" t="n">
        <f aca="false">L8-R8</f>
        <v>1204.046015625</v>
      </c>
      <c r="T8" s="11" t="n">
        <f aca="false">S8/M8</f>
        <v>0.91125</v>
      </c>
      <c r="U8" s="13" t="str">
        <f aca="false">IF(T8&lt;Parameters!$B$6,"Below tolerance",IF(T8&lt;=Parameters!$B$7,"Approximately at tolerance","Above tolerance"))</f>
        <v>Approximately at tolerance</v>
      </c>
      <c r="V8" s="11" t="n">
        <f aca="false">IF(O8=0,0,(L8-S8)/O8*1000)</f>
        <v>11.4514169304551</v>
      </c>
      <c r="W8" s="13" t="str">
        <f aca="false">IF(AND(P8&gt;=0,P8&lt;=1,Q8&gt;=0,Q8&lt;=1),"OK","CHECK")</f>
        <v>OK</v>
      </c>
    </row>
    <row r="9" customFormat="false" ht="23.85" hidden="false" customHeight="false" outlineLevel="0" collapsed="false">
      <c r="A9" s="5" t="str">
        <f aca="false">Inputs!A8</f>
        <v>S5</v>
      </c>
      <c r="B9" s="6" t="str">
        <f aca="false">Inputs!B8</f>
        <v>Misuse of legitimate clinical, privileged or service-account access to extract patient records</v>
      </c>
      <c r="C9" s="7" t="n">
        <f aca="false">Inputs!C8</f>
        <v>0.6</v>
      </c>
      <c r="D9" s="7" t="n">
        <f aca="false">Inputs!D8</f>
        <v>0.55</v>
      </c>
      <c r="E9" s="8" t="n">
        <f aca="false">Inputs!J8</f>
        <v>7.1</v>
      </c>
      <c r="F9" s="7" t="n">
        <f aca="false">Inputs!E8</f>
        <v>0.45</v>
      </c>
      <c r="G9" s="7" t="n">
        <f aca="false">Inputs!F8</f>
        <v>0.75</v>
      </c>
      <c r="H9" s="7" t="n">
        <f aca="false">Inputs!H8</f>
        <v>0.8</v>
      </c>
      <c r="I9" s="7" t="n">
        <f aca="false">Inputs!G8</f>
        <v>0.4</v>
      </c>
      <c r="J9" s="7" t="n">
        <f aca="false">Parameters!$B$4</f>
        <v>0.3</v>
      </c>
      <c r="K9" s="9" t="n">
        <f aca="false">Parameters!$B$5</f>
        <v>1000</v>
      </c>
      <c r="L9" s="10" t="n">
        <f aca="false">C9*D9*E9*((F9+G9)/2)*H9/I9*K9</f>
        <v>2811.6</v>
      </c>
      <c r="M9" s="10" t="n">
        <f aca="false">C9*D9*E9*J9*H9/I9*K9</f>
        <v>1405.8</v>
      </c>
      <c r="N9" s="11" t="n">
        <f aca="false">L9/M9</f>
        <v>2</v>
      </c>
      <c r="O9" s="12" t="n">
        <f aca="false">Portfolio!O27</f>
        <v>147137.254901961</v>
      </c>
      <c r="P9" s="7" t="n">
        <f aca="false">Inputs!K8</f>
        <v>0.6</v>
      </c>
      <c r="Q9" s="7" t="n">
        <f aca="false">Inputs!L8</f>
        <v>0.65</v>
      </c>
      <c r="R9" s="10" t="n">
        <f aca="false">L9*P9*Q9</f>
        <v>1096.524</v>
      </c>
      <c r="S9" s="10" t="n">
        <f aca="false">L9-R9</f>
        <v>1715.076</v>
      </c>
      <c r="T9" s="11" t="n">
        <f aca="false">S9/M9</f>
        <v>1.22</v>
      </c>
      <c r="U9" s="13" t="str">
        <f aca="false">IF(T9&lt;Parameters!$B$6,"Below tolerance",IF(T9&lt;=Parameters!$B$7,"Approximately at tolerance","Above tolerance"))</f>
        <v>Above tolerance</v>
      </c>
      <c r="V9" s="11" t="n">
        <f aca="false">IF(O9=0,0,(L9-S9)/O9*1000)</f>
        <v>7.45238859275053</v>
      </c>
      <c r="W9" s="13" t="str">
        <f aca="false">IF(AND(P9&gt;=0,P9&lt;=1,Q9&gt;=0,Q9&lt;=1),"OK","CHECK")</f>
        <v>OK</v>
      </c>
    </row>
    <row r="10" customFormat="false" ht="15" hidden="false" customHeight="false" outlineLevel="0" collapsed="false">
      <c r="A10" s="5" t="str">
        <f aca="false">Inputs!A9</f>
        <v>S6</v>
      </c>
      <c r="B10" s="6" t="str">
        <f aca="false">Inputs!B9</f>
        <v>Exploitation of unpatched internet-facing or end-of-life systems</v>
      </c>
      <c r="C10" s="7" t="n">
        <f aca="false">Inputs!C9</f>
        <v>0.8</v>
      </c>
      <c r="D10" s="7" t="n">
        <f aca="false">Inputs!D9</f>
        <v>0.5</v>
      </c>
      <c r="E10" s="8" t="n">
        <f aca="false">Inputs!J9</f>
        <v>10</v>
      </c>
      <c r="F10" s="7" t="n">
        <f aca="false">Inputs!E9</f>
        <v>0.6</v>
      </c>
      <c r="G10" s="7" t="n">
        <f aca="false">Inputs!F9</f>
        <v>0.9</v>
      </c>
      <c r="H10" s="7" t="n">
        <f aca="false">Inputs!H9</f>
        <v>0.85</v>
      </c>
      <c r="I10" s="7" t="n">
        <f aca="false">Inputs!G9</f>
        <v>0.4</v>
      </c>
      <c r="J10" s="7" t="n">
        <f aca="false">Parameters!$B$4</f>
        <v>0.3</v>
      </c>
      <c r="K10" s="9" t="n">
        <f aca="false">Parameters!$B$5</f>
        <v>1000</v>
      </c>
      <c r="L10" s="10" t="n">
        <f aca="false">C10*D10*E10*((F10+G10)/2)*H10/I10*K10</f>
        <v>6375</v>
      </c>
      <c r="M10" s="10" t="n">
        <f aca="false">C10*D10*E10*J10*H10/I10*K10</f>
        <v>2550</v>
      </c>
      <c r="N10" s="11" t="n">
        <f aca="false">L10/M10</f>
        <v>2.5</v>
      </c>
      <c r="O10" s="12" t="n">
        <f aca="false">Portfolio!P27</f>
        <v>183956.302521008</v>
      </c>
      <c r="P10" s="7" t="n">
        <f aca="false">Inputs!K9</f>
        <v>0.85</v>
      </c>
      <c r="Q10" s="7" t="n">
        <f aca="false">Inputs!L9</f>
        <v>0.7</v>
      </c>
      <c r="R10" s="10" t="n">
        <f aca="false">L10*P10*Q10</f>
        <v>3793.125</v>
      </c>
      <c r="S10" s="10" t="n">
        <f aca="false">L10-R10</f>
        <v>2581.875</v>
      </c>
      <c r="T10" s="11" t="n">
        <f aca="false">S10/M10</f>
        <v>1.0125</v>
      </c>
      <c r="U10" s="13" t="str">
        <f aca="false">IF(T10&lt;Parameters!$B$6,"Below tolerance",IF(T10&lt;=Parameters!$B$7,"Approximately at tolerance","Above tolerance"))</f>
        <v>Approximately at tolerance</v>
      </c>
      <c r="V10" s="11" t="n">
        <f aca="false">IF(O10=0,0,(L10-S10)/O10*1000)</f>
        <v>20.619706680432</v>
      </c>
      <c r="W10" s="13" t="str">
        <f aca="false">IF(AND(P10&gt;=0,P10&lt;=1,Q10&gt;=0,Q10&lt;=1),"OK","CHECK")</f>
        <v>OK</v>
      </c>
    </row>
    <row r="11" customFormat="false" ht="23.85" hidden="false" customHeight="false" outlineLevel="0" collapsed="false">
      <c r="A11" s="5" t="str">
        <f aca="false">Inputs!A10</f>
        <v>S7</v>
      </c>
      <c r="B11" s="6" t="str">
        <f aca="false">Inputs!B10</f>
        <v>Connected medical device used as a foothold to disrupt clinical equipment and reach the EHR network</v>
      </c>
      <c r="C11" s="7" t="n">
        <f aca="false">Inputs!C10</f>
        <v>0.45</v>
      </c>
      <c r="D11" s="7" t="n">
        <f aca="false">Inputs!D10</f>
        <v>0.5</v>
      </c>
      <c r="E11" s="8" t="n">
        <f aca="false">Inputs!J10</f>
        <v>8.7</v>
      </c>
      <c r="F11" s="7" t="n">
        <f aca="false">Inputs!E10</f>
        <v>0.55</v>
      </c>
      <c r="G11" s="7" t="n">
        <f aca="false">Inputs!F10</f>
        <v>0.95</v>
      </c>
      <c r="H11" s="7" t="n">
        <f aca="false">Inputs!H10</f>
        <v>0.9</v>
      </c>
      <c r="I11" s="7" t="n">
        <f aca="false">Inputs!G10</f>
        <v>0.35</v>
      </c>
      <c r="J11" s="7" t="n">
        <f aca="false">Parameters!$B$4</f>
        <v>0.3</v>
      </c>
      <c r="K11" s="9" t="n">
        <f aca="false">Parameters!$B$5</f>
        <v>1000</v>
      </c>
      <c r="L11" s="10" t="n">
        <f aca="false">C11*D11*E11*((F11+G11)/2)*H11/I11*K11</f>
        <v>3775.17857142857</v>
      </c>
      <c r="M11" s="10" t="n">
        <f aca="false">C11*D11*E11*J11*H11/I11*K11</f>
        <v>1510.07142857143</v>
      </c>
      <c r="N11" s="11" t="n">
        <f aca="false">L11/M11</f>
        <v>2.5</v>
      </c>
      <c r="O11" s="12" t="n">
        <f aca="false">Portfolio!Q27</f>
        <v>282485.714285714</v>
      </c>
      <c r="P11" s="7" t="n">
        <f aca="false">Inputs!K10</f>
        <v>0.7</v>
      </c>
      <c r="Q11" s="7" t="n">
        <f aca="false">Inputs!L10</f>
        <v>0.6</v>
      </c>
      <c r="R11" s="10" t="n">
        <f aca="false">L11*P11*Q11</f>
        <v>1585.575</v>
      </c>
      <c r="S11" s="10" t="n">
        <f aca="false">L11-R11</f>
        <v>2189.60357142857</v>
      </c>
      <c r="T11" s="11" t="n">
        <f aca="false">S11/M11</f>
        <v>1.45</v>
      </c>
      <c r="U11" s="13" t="str">
        <f aca="false">IF(T11&lt;Parameters!$B$6,"Below tolerance",IF(T11&lt;=Parameters!$B$7,"Approximately at tolerance","Above tolerance"))</f>
        <v>Above tolerance</v>
      </c>
      <c r="V11" s="11" t="n">
        <f aca="false">IF(O11=0,0,(L11-S11)/O11*1000)</f>
        <v>5.61293870739355</v>
      </c>
      <c r="W11" s="13" t="str">
        <f aca="false">IF(AND(P11&gt;=0,P11&lt;=1,Q11&gt;=0,Q11&lt;=1),"OK","CHECK")</f>
        <v>OK</v>
      </c>
    </row>
    <row r="12" customFormat="false" ht="23.85" hidden="false" customHeight="false" outlineLevel="0" collapsed="false">
      <c r="A12" s="5" t="str">
        <f aca="false">Inputs!A11</f>
        <v>S8</v>
      </c>
      <c r="B12" s="6" t="str">
        <f aca="false">Inputs!B11</f>
        <v>Detection and response gaps allow an intrusion to persist and escalate</v>
      </c>
      <c r="C12" s="7" t="n">
        <f aca="false">Inputs!C11</f>
        <v>0.8</v>
      </c>
      <c r="D12" s="7" t="n">
        <f aca="false">Inputs!D11</f>
        <v>0.6</v>
      </c>
      <c r="E12" s="8" t="n">
        <f aca="false">Inputs!J11</f>
        <v>9.2</v>
      </c>
      <c r="F12" s="7" t="n">
        <f aca="false">Inputs!E11</f>
        <v>0.6</v>
      </c>
      <c r="G12" s="7" t="n">
        <f aca="false">Inputs!F11</f>
        <v>0.9</v>
      </c>
      <c r="H12" s="7" t="n">
        <f aca="false">Inputs!H11</f>
        <v>0.85</v>
      </c>
      <c r="I12" s="7" t="n">
        <f aca="false">Inputs!G11</f>
        <v>0.3</v>
      </c>
      <c r="J12" s="7" t="n">
        <f aca="false">Parameters!$B$4</f>
        <v>0.3</v>
      </c>
      <c r="K12" s="9" t="n">
        <f aca="false">Parameters!$B$5</f>
        <v>1000</v>
      </c>
      <c r="L12" s="10" t="n">
        <f aca="false">C12*D12*E12*((F12+G12)/2)*H12/I12*K12</f>
        <v>9384</v>
      </c>
      <c r="M12" s="10" t="n">
        <f aca="false">C12*D12*E12*J12*H12/I12*K12</f>
        <v>3753.6</v>
      </c>
      <c r="N12" s="11" t="n">
        <f aca="false">L12/M12</f>
        <v>2.5</v>
      </c>
      <c r="O12" s="12" t="n">
        <f aca="false">Portfolio!R27</f>
        <v>108978.524743231</v>
      </c>
      <c r="P12" s="7" t="n">
        <f aca="false">Inputs!K11</f>
        <v>0.7</v>
      </c>
      <c r="Q12" s="7" t="n">
        <f aca="false">Inputs!L11</f>
        <v>0.8</v>
      </c>
      <c r="R12" s="10" t="n">
        <f aca="false">L12*P12*Q12</f>
        <v>5255.04</v>
      </c>
      <c r="S12" s="10" t="n">
        <f aca="false">L12-R12</f>
        <v>4128.96</v>
      </c>
      <c r="T12" s="11" t="n">
        <f aca="false">S12/M12</f>
        <v>1.1</v>
      </c>
      <c r="U12" s="13" t="str">
        <f aca="false">IF(T12&lt;Parameters!$B$6,"Below tolerance",IF(T12&lt;=Parameters!$B$7,"Approximately at tolerance","Above tolerance"))</f>
        <v>Approximately at tolerance</v>
      </c>
      <c r="V12" s="11" t="n">
        <f aca="false">IF(O12=0,0,(L12-S12)/O12*1000)</f>
        <v>48.2208766578704</v>
      </c>
      <c r="W12" s="13" t="str">
        <f aca="false">IF(AND(P12&gt;=0,P12&lt;=1,Q12&gt;=0,Q12&lt;=1),"OK","CHECK")</f>
        <v>OK</v>
      </c>
    </row>
    <row r="13" customFormat="false" ht="23.85" hidden="false" customHeight="false" outlineLevel="0" collapsed="false">
      <c r="A13" s="5" t="str">
        <f aca="false">Inputs!A12</f>
        <v>S9</v>
      </c>
      <c r="B13" s="6" t="str">
        <f aca="false">Inputs!B12</f>
        <v>Compromise of a critical vendor with remote access to MediBec systems</v>
      </c>
      <c r="C13" s="7" t="n">
        <f aca="false">Inputs!C12</f>
        <v>0.55</v>
      </c>
      <c r="D13" s="7" t="n">
        <f aca="false">Inputs!D12</f>
        <v>0.45</v>
      </c>
      <c r="E13" s="8" t="n">
        <f aca="false">Inputs!J12</f>
        <v>9</v>
      </c>
      <c r="F13" s="7" t="n">
        <f aca="false">Inputs!E12</f>
        <v>0.6</v>
      </c>
      <c r="G13" s="7" t="n">
        <f aca="false">Inputs!F12</f>
        <v>0.9</v>
      </c>
      <c r="H13" s="7" t="n">
        <f aca="false">Inputs!H12</f>
        <v>0.85</v>
      </c>
      <c r="I13" s="7" t="n">
        <f aca="false">Inputs!G12</f>
        <v>0.35</v>
      </c>
      <c r="J13" s="7" t="n">
        <f aca="false">Parameters!$B$4</f>
        <v>0.3</v>
      </c>
      <c r="K13" s="9" t="n">
        <f aca="false">Parameters!$B$5</f>
        <v>1000</v>
      </c>
      <c r="L13" s="10" t="n">
        <f aca="false">C13*D13*E13*((F13+G13)/2)*H13/I13*K13</f>
        <v>4057.23214285714</v>
      </c>
      <c r="M13" s="10" t="n">
        <f aca="false">C13*D13*E13*J13*H13/I13*K13</f>
        <v>1622.89285714286</v>
      </c>
      <c r="N13" s="11" t="n">
        <f aca="false">L13/M13</f>
        <v>2.5</v>
      </c>
      <c r="O13" s="12" t="n">
        <f aca="false">Portfolio!S27</f>
        <v>209645.191409897</v>
      </c>
      <c r="P13" s="7" t="n">
        <f aca="false">Inputs!K12</f>
        <v>0.55</v>
      </c>
      <c r="Q13" s="7" t="n">
        <f aca="false">Inputs!L12</f>
        <v>0.7</v>
      </c>
      <c r="R13" s="10" t="n">
        <f aca="false">L13*P13*Q13</f>
        <v>1562.034375</v>
      </c>
      <c r="S13" s="10" t="n">
        <f aca="false">L13-R13</f>
        <v>2495.19776785714</v>
      </c>
      <c r="T13" s="11" t="n">
        <f aca="false">S13/M13</f>
        <v>1.5375</v>
      </c>
      <c r="U13" s="13" t="str">
        <f aca="false">IF(T13&lt;Parameters!$B$6,"Below tolerance",IF(T13&lt;=Parameters!$B$7,"Approximately at tolerance","Above tolerance"))</f>
        <v>Above tolerance</v>
      </c>
      <c r="V13" s="11" t="n">
        <f aca="false">IF(O13=0,0,(L13-S13)/O13*1000)</f>
        <v>7.45084761780163</v>
      </c>
      <c r="W13" s="13" t="str">
        <f aca="false">IF(AND(P13&gt;=0,P13&lt;=1,Q13&gt;=0,Q13&lt;=1),"OK","CHECK")</f>
        <v>OK</v>
      </c>
    </row>
    <row r="14" customFormat="false" ht="23.85" hidden="false" customHeight="false" outlineLevel="0" collapsed="false">
      <c r="A14" s="5" t="str">
        <f aca="false">Inputs!A13</f>
        <v>S10</v>
      </c>
      <c r="B14" s="6" t="str">
        <f aca="false">Inputs!B13</f>
        <v>Manipulation of patient, medication or billing records undermining clinical decisions</v>
      </c>
      <c r="C14" s="7" t="n">
        <f aca="false">Inputs!C13</f>
        <v>0.3</v>
      </c>
      <c r="D14" s="7" t="n">
        <f aca="false">Inputs!D13</f>
        <v>0.4</v>
      </c>
      <c r="E14" s="8" t="n">
        <f aca="false">Inputs!J13</f>
        <v>8.3</v>
      </c>
      <c r="F14" s="7" t="n">
        <f aca="false">Inputs!E13</f>
        <v>0.55</v>
      </c>
      <c r="G14" s="7" t="n">
        <f aca="false">Inputs!F13</f>
        <v>0.95</v>
      </c>
      <c r="H14" s="7" t="n">
        <f aca="false">Inputs!H13</f>
        <v>0.95</v>
      </c>
      <c r="I14" s="7" t="n">
        <f aca="false">Inputs!G13</f>
        <v>0.4</v>
      </c>
      <c r="J14" s="7" t="n">
        <f aca="false">Parameters!$B$4</f>
        <v>0.3</v>
      </c>
      <c r="K14" s="9" t="n">
        <f aca="false">Parameters!$B$5</f>
        <v>1000</v>
      </c>
      <c r="L14" s="10" t="n">
        <f aca="false">C14*D14*E14*((F14+G14)/2)*H14/I14*K14</f>
        <v>1774.125</v>
      </c>
      <c r="M14" s="10" t="n">
        <f aca="false">C14*D14*E14*J14*H14/I14*K14</f>
        <v>709.65</v>
      </c>
      <c r="N14" s="11" t="n">
        <f aca="false">L14/M14</f>
        <v>2.5</v>
      </c>
      <c r="O14" s="12" t="n">
        <f aca="false">Portfolio!T27</f>
        <v>355145.191409897</v>
      </c>
      <c r="P14" s="7" t="n">
        <f aca="false">Inputs!K13</f>
        <v>0.7</v>
      </c>
      <c r="Q14" s="7" t="n">
        <f aca="false">Inputs!L13</f>
        <v>0.75</v>
      </c>
      <c r="R14" s="10" t="n">
        <f aca="false">L14*P14*Q14</f>
        <v>931.415625</v>
      </c>
      <c r="S14" s="10" t="n">
        <f aca="false">L14-R14</f>
        <v>842.709375</v>
      </c>
      <c r="T14" s="11" t="n">
        <f aca="false">S14/M14</f>
        <v>1.1875</v>
      </c>
      <c r="U14" s="13" t="str">
        <f aca="false">IF(T14&lt;Parameters!$B$6,"Below tolerance",IF(T14&lt;=Parameters!$B$7,"Approximately at tolerance","Above tolerance"))</f>
        <v>Above tolerance</v>
      </c>
      <c r="V14" s="11" t="n">
        <f aca="false">IF(O14=0,0,(L14-S14)/O14*1000)</f>
        <v>2.62263335539574</v>
      </c>
      <c r="W14" s="13" t="str">
        <f aca="false">IF(AND(P14&gt;=0,P14&lt;=1,Q14&gt;=0,Q14&lt;=1),"OK","CHECK")</f>
        <v>OK</v>
      </c>
    </row>
    <row r="15" customFormat="false" ht="23.85" hidden="false" customHeight="false" outlineLevel="0" collapsed="false">
      <c r="A15" s="5" t="str">
        <f aca="false">Inputs!A14</f>
        <v>S11</v>
      </c>
      <c r="B15" s="6" t="str">
        <f aca="false">Inputs!B14</f>
        <v>API key or secret exposed in code, logs or configuration enables direct data access</v>
      </c>
      <c r="C15" s="7" t="n">
        <f aca="false">Inputs!C14</f>
        <v>0.45</v>
      </c>
      <c r="D15" s="7" t="n">
        <f aca="false">Inputs!D14</f>
        <v>0.45</v>
      </c>
      <c r="E15" s="8" t="n">
        <f aca="false">Inputs!J14</f>
        <v>8.3</v>
      </c>
      <c r="F15" s="7" t="n">
        <f aca="false">Inputs!E14</f>
        <v>0.5</v>
      </c>
      <c r="G15" s="7" t="n">
        <f aca="false">Inputs!F14</f>
        <v>0.8</v>
      </c>
      <c r="H15" s="7" t="n">
        <f aca="false">Inputs!H14</f>
        <v>0.75</v>
      </c>
      <c r="I15" s="7" t="n">
        <f aca="false">Inputs!G14</f>
        <v>0.4</v>
      </c>
      <c r="J15" s="7" t="n">
        <f aca="false">Parameters!$B$4</f>
        <v>0.3</v>
      </c>
      <c r="K15" s="9" t="n">
        <f aca="false">Parameters!$B$5</f>
        <v>1000</v>
      </c>
      <c r="L15" s="10" t="n">
        <f aca="false">C15*D15*E15*((F15+G15)/2)*H15/I15*K15</f>
        <v>2048.4140625</v>
      </c>
      <c r="M15" s="10" t="n">
        <f aca="false">C15*D15*E15*J15*H15/I15*K15</f>
        <v>945.421875</v>
      </c>
      <c r="N15" s="11" t="n">
        <f aca="false">L15/M15</f>
        <v>2.16666666666667</v>
      </c>
      <c r="O15" s="12" t="n">
        <f aca="false">Portfolio!U27</f>
        <v>201470.588235294</v>
      </c>
      <c r="P15" s="7" t="n">
        <f aca="false">Inputs!K14</f>
        <v>0.85</v>
      </c>
      <c r="Q15" s="7" t="n">
        <f aca="false">Inputs!L14</f>
        <v>0.6</v>
      </c>
      <c r="R15" s="10" t="n">
        <f aca="false">L15*P15*Q15</f>
        <v>1044.691171875</v>
      </c>
      <c r="S15" s="10" t="n">
        <f aca="false">L15-R15</f>
        <v>1003.722890625</v>
      </c>
      <c r="T15" s="11" t="n">
        <f aca="false">S15/M15</f>
        <v>1.06166666666667</v>
      </c>
      <c r="U15" s="13" t="str">
        <f aca="false">IF(T15&lt;Parameters!$B$6,"Below tolerance",IF(T15&lt;=Parameters!$B$7,"Approximately at tolerance","Above tolerance"))</f>
        <v>Approximately at tolerance</v>
      </c>
      <c r="V15" s="11" t="n">
        <f aca="false">IF(O15=0,0,(L15-S15)/O15*1000)</f>
        <v>5.18532844434307</v>
      </c>
      <c r="W15" s="13" t="str">
        <f aca="false">IF(AND(P15&gt;=0,P15&lt;=1,Q15&gt;=0,Q15&lt;=1),"OK","CHECK")</f>
        <v>OK</v>
      </c>
    </row>
    <row r="16" customFormat="false" ht="23.85" hidden="false" customHeight="false" outlineLevel="0" collapsed="false">
      <c r="A16" s="5" t="str">
        <f aca="false">Inputs!A15</f>
        <v>S12</v>
      </c>
      <c r="B16" s="6" t="str">
        <f aca="false">Inputs!B15</f>
        <v>Clinic Wi-Fi compromise or rogue access point gives access to the clinical network</v>
      </c>
      <c r="C16" s="7" t="n">
        <f aca="false">Inputs!C15</f>
        <v>0.4</v>
      </c>
      <c r="D16" s="7" t="n">
        <f aca="false">Inputs!D15</f>
        <v>0.45</v>
      </c>
      <c r="E16" s="8" t="n">
        <f aca="false">Inputs!J15</f>
        <v>6.4</v>
      </c>
      <c r="F16" s="7" t="n">
        <f aca="false">Inputs!E15</f>
        <v>0.4</v>
      </c>
      <c r="G16" s="7" t="n">
        <f aca="false">Inputs!F15</f>
        <v>0.75</v>
      </c>
      <c r="H16" s="7" t="n">
        <f aca="false">Inputs!H15</f>
        <v>0.7</v>
      </c>
      <c r="I16" s="7" t="n">
        <f aca="false">Inputs!G15</f>
        <v>0.4</v>
      </c>
      <c r="J16" s="7" t="n">
        <f aca="false">Parameters!$B$4</f>
        <v>0.3</v>
      </c>
      <c r="K16" s="9" t="n">
        <f aca="false">Parameters!$B$5</f>
        <v>1000</v>
      </c>
      <c r="L16" s="10" t="n">
        <f aca="false">C16*D16*E16*((F16+G16)/2)*H16/I16*K16</f>
        <v>1159.2</v>
      </c>
      <c r="M16" s="10" t="n">
        <f aca="false">C16*D16*E16*J16*H16/I16*K16</f>
        <v>604.8</v>
      </c>
      <c r="N16" s="11" t="n">
        <f aca="false">L16/M16</f>
        <v>1.91666666666667</v>
      </c>
      <c r="O16" s="12" t="n">
        <f aca="false">Portfolio!V27</f>
        <v>110756.302521008</v>
      </c>
      <c r="P16" s="7" t="n">
        <f aca="false">Inputs!K15</f>
        <v>0.8</v>
      </c>
      <c r="Q16" s="7" t="n">
        <f aca="false">Inputs!L15</f>
        <v>0.65</v>
      </c>
      <c r="R16" s="10" t="n">
        <f aca="false">L16*P16*Q16</f>
        <v>602.784</v>
      </c>
      <c r="S16" s="10" t="n">
        <f aca="false">L16-R16</f>
        <v>556.416</v>
      </c>
      <c r="T16" s="11" t="n">
        <f aca="false">S16/M16</f>
        <v>0.92</v>
      </c>
      <c r="U16" s="13" t="str">
        <f aca="false">IF(T16&lt;Parameters!$B$6,"Below tolerance",IF(T16&lt;=Parameters!$B$7,"Approximately at tolerance","Above tolerance"))</f>
        <v>Approximately at tolerance</v>
      </c>
      <c r="V16" s="11" t="n">
        <f aca="false">IF(O16=0,0,(L16-S16)/O16*1000)</f>
        <v>5.44243520485584</v>
      </c>
      <c r="W16" s="13" t="str">
        <f aca="false">IF(AND(P16&gt;=0,P16&lt;=1,Q16&gt;=0,Q16&lt;=1),"OK","CHECK")</f>
        <v>OK</v>
      </c>
    </row>
    <row r="17" customFormat="false" ht="23.85" hidden="false" customHeight="false" outlineLevel="0" collapsed="false">
      <c r="A17" s="5" t="str">
        <f aca="false">Inputs!A16</f>
        <v>S13</v>
      </c>
      <c r="B17" s="6" t="str">
        <f aca="false">Inputs!B16</f>
        <v>DDoS attack disrupts online booking, patient portal and communications</v>
      </c>
      <c r="C17" s="7" t="n">
        <f aca="false">Inputs!C16</f>
        <v>0.5</v>
      </c>
      <c r="D17" s="7" t="n">
        <f aca="false">Inputs!D16</f>
        <v>0.6</v>
      </c>
      <c r="E17" s="8" t="n">
        <f aca="false">Inputs!J16</f>
        <v>8.7</v>
      </c>
      <c r="F17" s="7" t="n">
        <f aca="false">Inputs!E16</f>
        <v>0.3</v>
      </c>
      <c r="G17" s="7" t="n">
        <f aca="false">Inputs!F16</f>
        <v>0.55</v>
      </c>
      <c r="H17" s="7" t="n">
        <f aca="false">Inputs!H16</f>
        <v>0.55</v>
      </c>
      <c r="I17" s="7" t="n">
        <f aca="false">Inputs!G16</f>
        <v>0.45</v>
      </c>
      <c r="J17" s="7" t="n">
        <f aca="false">Parameters!$B$4</f>
        <v>0.3</v>
      </c>
      <c r="K17" s="9" t="n">
        <f aca="false">Parameters!$B$5</f>
        <v>1000</v>
      </c>
      <c r="L17" s="10" t="n">
        <f aca="false">C17*D17*E17*((F17+G17)/2)*H17/I17*K17</f>
        <v>1355.75</v>
      </c>
      <c r="M17" s="10" t="n">
        <f aca="false">C17*D17*E17*J17*H17/I17*K17</f>
        <v>957</v>
      </c>
      <c r="N17" s="11" t="n">
        <f aca="false">L17/M17</f>
        <v>1.41666666666667</v>
      </c>
      <c r="O17" s="12" t="n">
        <f aca="false">Portfolio!W27</f>
        <v>72222.2222222222</v>
      </c>
      <c r="P17" s="7" t="n">
        <f aca="false">Inputs!K16</f>
        <v>0.8</v>
      </c>
      <c r="Q17" s="7" t="n">
        <f aca="false">Inputs!L16</f>
        <v>0.7</v>
      </c>
      <c r="R17" s="10" t="n">
        <f aca="false">L17*P17*Q17</f>
        <v>759.22</v>
      </c>
      <c r="S17" s="10" t="n">
        <f aca="false">L17-R17</f>
        <v>596.53</v>
      </c>
      <c r="T17" s="11" t="n">
        <f aca="false">S17/M17</f>
        <v>0.623333333333334</v>
      </c>
      <c r="U17" s="13" t="str">
        <f aca="false">IF(T17&lt;Parameters!$B$6,"Below tolerance",IF(T17&lt;=Parameters!$B$7,"Approximately at tolerance","Above tolerance"))</f>
        <v>Below tolerance</v>
      </c>
      <c r="V17" s="11" t="n">
        <f aca="false">IF(O17=0,0,(L17-S17)/O17*1000)</f>
        <v>10.5122769230769</v>
      </c>
      <c r="W17" s="13" t="str">
        <f aca="false">IF(AND(P17&gt;=0,P17&lt;=1,Q17&gt;=0,Q17&lt;=1),"OK","CHECK")</f>
        <v>OK</v>
      </c>
    </row>
    <row r="18" customFormat="false" ht="15" hidden="false" customHeight="false" outlineLevel="0" collapsed="false">
      <c r="A18" s="5" t="str">
        <f aca="false">Inputs!A17</f>
        <v>S14</v>
      </c>
      <c r="B18" s="6" t="str">
        <f aca="false">Inputs!B17</f>
        <v>Business e-mail compromise diverts vendor or billing payments</v>
      </c>
      <c r="C18" s="7" t="n">
        <f aca="false">Inputs!C17</f>
        <v>0.65</v>
      </c>
      <c r="D18" s="7" t="n">
        <f aca="false">Inputs!D17</f>
        <v>0.4</v>
      </c>
      <c r="E18" s="8" t="n">
        <f aca="false">Inputs!J17</f>
        <v>5.1</v>
      </c>
      <c r="F18" s="7" t="n">
        <f aca="false">Inputs!E17</f>
        <v>0.35</v>
      </c>
      <c r="G18" s="7" t="n">
        <f aca="false">Inputs!F17</f>
        <v>0.6</v>
      </c>
      <c r="H18" s="7" t="n">
        <f aca="false">Inputs!H17</f>
        <v>0.55</v>
      </c>
      <c r="I18" s="7" t="n">
        <f aca="false">Inputs!G17</f>
        <v>0.45</v>
      </c>
      <c r="J18" s="7" t="n">
        <f aca="false">Parameters!$B$4</f>
        <v>0.3</v>
      </c>
      <c r="K18" s="9" t="n">
        <f aca="false">Parameters!$B$5</f>
        <v>1000</v>
      </c>
      <c r="L18" s="10" t="n">
        <f aca="false">C18*D18*E18*((F18+G18)/2)*H18/I18*K18</f>
        <v>769.816666666667</v>
      </c>
      <c r="M18" s="10" t="n">
        <f aca="false">C18*D18*E18*J18*H18/I18*K18</f>
        <v>486.2</v>
      </c>
      <c r="N18" s="11" t="n">
        <f aca="false">L18/M18</f>
        <v>1.58333333333333</v>
      </c>
      <c r="O18" s="12" t="n">
        <f aca="false">Portfolio!X27</f>
        <v>38500</v>
      </c>
      <c r="P18" s="7" t="n">
        <f aca="false">Inputs!K17</f>
        <v>0.8</v>
      </c>
      <c r="Q18" s="7" t="n">
        <f aca="false">Inputs!L17</f>
        <v>0.6</v>
      </c>
      <c r="R18" s="10" t="n">
        <f aca="false">L18*P18*Q18</f>
        <v>369.512</v>
      </c>
      <c r="S18" s="10" t="n">
        <f aca="false">L18-R18</f>
        <v>400.304666666667</v>
      </c>
      <c r="T18" s="11" t="n">
        <f aca="false">S18/M18</f>
        <v>0.823333333333333</v>
      </c>
      <c r="U18" s="13" t="str">
        <f aca="false">IF(T18&lt;Parameters!$B$6,"Below tolerance",IF(T18&lt;=Parameters!$B$7,"Approximately at tolerance","Above tolerance"))</f>
        <v>Below tolerance</v>
      </c>
      <c r="V18" s="11" t="n">
        <f aca="false">IF(O18=0,0,(L18-S18)/O18*1000)</f>
        <v>9.59771428571429</v>
      </c>
      <c r="W18" s="13" t="str">
        <f aca="false">IF(AND(P18&gt;=0,P18&lt;=1,Q18&gt;=0,Q18&lt;=1),"OK","CHECK")</f>
        <v>OK</v>
      </c>
    </row>
    <row r="19" customFormat="false" ht="15" hidden="false" customHeight="false" outlineLevel="0" collapsed="false">
      <c r="A19" s="5" t="str">
        <f aca="false">Inputs!A18</f>
        <v>S15</v>
      </c>
      <c r="B19" s="6" t="str">
        <f aca="false">Inputs!B18</f>
        <v>Lost or stolen tablet or handheld exposes patient data</v>
      </c>
      <c r="C19" s="7" t="n">
        <f aca="false">Inputs!C18</f>
        <v>0.7</v>
      </c>
      <c r="D19" s="7" t="n">
        <f aca="false">Inputs!D18</f>
        <v>0.3</v>
      </c>
      <c r="E19" s="8" t="n">
        <f aca="false">Inputs!J18</f>
        <v>5.1</v>
      </c>
      <c r="F19" s="7" t="n">
        <f aca="false">Inputs!E18</f>
        <v>0.25</v>
      </c>
      <c r="G19" s="7" t="n">
        <f aca="false">Inputs!F18</f>
        <v>0.55</v>
      </c>
      <c r="H19" s="7" t="n">
        <f aca="false">Inputs!H18</f>
        <v>0.6</v>
      </c>
      <c r="I19" s="7" t="n">
        <f aca="false">Inputs!G18</f>
        <v>0.45</v>
      </c>
      <c r="J19" s="7" t="n">
        <f aca="false">Parameters!$B$4</f>
        <v>0.3</v>
      </c>
      <c r="K19" s="9" t="n">
        <f aca="false">Parameters!$B$5</f>
        <v>1000</v>
      </c>
      <c r="L19" s="10" t="n">
        <f aca="false">C19*D19*E19*((F19+G19)/2)*H19/I19*K19</f>
        <v>571.2</v>
      </c>
      <c r="M19" s="10" t="n">
        <f aca="false">C19*D19*E19*J19*H19/I19*K19</f>
        <v>428.4</v>
      </c>
      <c r="N19" s="11" t="n">
        <f aca="false">L19/M19</f>
        <v>1.33333333333333</v>
      </c>
      <c r="O19" s="12" t="n">
        <f aca="false">Portfolio!Y27</f>
        <v>43333.3333333333</v>
      </c>
      <c r="P19" s="7" t="n">
        <f aca="false">Inputs!K18</f>
        <v>0.75</v>
      </c>
      <c r="Q19" s="7" t="n">
        <f aca="false">Inputs!L18</f>
        <v>0.8</v>
      </c>
      <c r="R19" s="10" t="n">
        <f aca="false">L19*P19*Q19</f>
        <v>342.72</v>
      </c>
      <c r="S19" s="10" t="n">
        <f aca="false">L19-R19</f>
        <v>228.48</v>
      </c>
      <c r="T19" s="11" t="n">
        <f aca="false">S19/M19</f>
        <v>0.533333333333333</v>
      </c>
      <c r="U19" s="13" t="str">
        <f aca="false">IF(T19&lt;Parameters!$B$6,"Below tolerance",IF(T19&lt;=Parameters!$B$7,"Approximately at tolerance","Above tolerance"))</f>
        <v>Below tolerance</v>
      </c>
      <c r="V19" s="11" t="n">
        <f aca="false">IF(O19=0,0,(L19-S19)/O19*1000)</f>
        <v>7.90892307692308</v>
      </c>
      <c r="W19" s="13" t="str">
        <f aca="false">IF(AND(P19&gt;=0,P19&lt;=1,Q19&gt;=0,Q19&lt;=1),"OK","CHECK")</f>
        <v>OK</v>
      </c>
    </row>
    <row r="20" customFormat="false" ht="23.85" hidden="false" customHeight="false" outlineLevel="0" collapsed="false">
      <c r="A20" s="5" t="str">
        <f aca="false">Inputs!A19</f>
        <v>S16</v>
      </c>
      <c r="B20" s="6" t="str">
        <f aca="false">Inputs!B19</f>
        <v>Loss of the Montreal hub or WAN isolates clinics from central clinical systems</v>
      </c>
      <c r="C20" s="7" t="n">
        <f aca="false">Inputs!C19</f>
        <v>0.35</v>
      </c>
      <c r="D20" s="7" t="n">
        <f aca="false">Inputs!D19</f>
        <v>0.5</v>
      </c>
      <c r="E20" s="8" t="n">
        <f aca="false">Inputs!J19</f>
        <v>8.9</v>
      </c>
      <c r="F20" s="7" t="n">
        <f aca="false">Inputs!E19</f>
        <v>0.55</v>
      </c>
      <c r="G20" s="7" t="n">
        <f aca="false">Inputs!F19</f>
        <v>0.85</v>
      </c>
      <c r="H20" s="7" t="n">
        <f aca="false">Inputs!H19</f>
        <v>0.95</v>
      </c>
      <c r="I20" s="7" t="n">
        <f aca="false">Inputs!G19</f>
        <v>0.35</v>
      </c>
      <c r="J20" s="7" t="n">
        <f aca="false">Parameters!$B$4</f>
        <v>0.3</v>
      </c>
      <c r="K20" s="9" t="n">
        <f aca="false">Parameters!$B$5</f>
        <v>1000</v>
      </c>
      <c r="L20" s="10" t="n">
        <f aca="false">C20*D20*E20*((F20+G20)/2)*H20/I20*K20</f>
        <v>2959.25</v>
      </c>
      <c r="M20" s="10" t="n">
        <f aca="false">C20*D20*E20*J20*H20/I20*K20</f>
        <v>1268.25</v>
      </c>
      <c r="N20" s="11" t="n">
        <f aca="false">L20/M20</f>
        <v>2.33333333333333</v>
      </c>
      <c r="O20" s="12" t="n">
        <f aca="false">Portfolio!Z27</f>
        <v>492222.222222222</v>
      </c>
      <c r="P20" s="7" t="n">
        <f aca="false">Inputs!K19</f>
        <v>0.7</v>
      </c>
      <c r="Q20" s="7" t="n">
        <f aca="false">Inputs!L19</f>
        <v>0.65</v>
      </c>
      <c r="R20" s="10" t="n">
        <f aca="false">L20*P20*Q20</f>
        <v>1346.45875</v>
      </c>
      <c r="S20" s="10" t="n">
        <f aca="false">L20-R20</f>
        <v>1612.79125</v>
      </c>
      <c r="T20" s="11" t="n">
        <f aca="false">S20/M20</f>
        <v>1.27166666666667</v>
      </c>
      <c r="U20" s="13" t="str">
        <f aca="false">IF(T20&lt;Parameters!$B$6,"Below tolerance",IF(T20&lt;=Parameters!$B$7,"Approximately at tolerance","Above tolerance"))</f>
        <v>Above tolerance</v>
      </c>
      <c r="V20" s="11" t="n">
        <f aca="false">IF(O20=0,0,(L20-S20)/O20*1000)</f>
        <v>2.73546924379232</v>
      </c>
      <c r="W20" s="13" t="str">
        <f aca="false">IF(AND(P20&gt;=0,P20&lt;=1,Q20&gt;=0,Q20&lt;=1),"OK","CHECK")</f>
        <v>OK</v>
      </c>
    </row>
    <row r="21" customFormat="false" ht="23.85" hidden="false" customHeight="false" outlineLevel="0" collapsed="false">
      <c r="A21" s="5" t="str">
        <f aca="false">Inputs!A20</f>
        <v>S17</v>
      </c>
      <c r="B21" s="6" t="str">
        <f aca="false">Inputs!B20</f>
        <v>Unmanaged patient data on local clinic storage is exposed or lost</v>
      </c>
      <c r="C21" s="7" t="n">
        <f aca="false">Inputs!C20</f>
        <v>0.45</v>
      </c>
      <c r="D21" s="7" t="n">
        <f aca="false">Inputs!D20</f>
        <v>0.45</v>
      </c>
      <c r="E21" s="8" t="n">
        <f aca="false">Inputs!J20</f>
        <v>7</v>
      </c>
      <c r="F21" s="7" t="n">
        <f aca="false">Inputs!E20</f>
        <v>0.4</v>
      </c>
      <c r="G21" s="7" t="n">
        <f aca="false">Inputs!F20</f>
        <v>0.7</v>
      </c>
      <c r="H21" s="7" t="n">
        <f aca="false">Inputs!H20</f>
        <v>0.65</v>
      </c>
      <c r="I21" s="7" t="n">
        <f aca="false">Inputs!G20</f>
        <v>0.4</v>
      </c>
      <c r="J21" s="7" t="n">
        <f aca="false">Parameters!$B$4</f>
        <v>0.3</v>
      </c>
      <c r="K21" s="9" t="n">
        <f aca="false">Parameters!$B$5</f>
        <v>1000</v>
      </c>
      <c r="L21" s="10" t="n">
        <f aca="false">C21*D21*E21*((F21+G21)/2)*H21/I21*K21</f>
        <v>1266.890625</v>
      </c>
      <c r="M21" s="10" t="n">
        <f aca="false">C21*D21*E21*J21*H21/I21*K21</f>
        <v>691.03125</v>
      </c>
      <c r="N21" s="11" t="n">
        <f aca="false">L21/M21</f>
        <v>1.83333333333333</v>
      </c>
      <c r="O21" s="12" t="n">
        <f aca="false">Portfolio!AA27</f>
        <v>96666.6666666667</v>
      </c>
      <c r="P21" s="7" t="n">
        <f aca="false">Inputs!K20</f>
        <v>0.7</v>
      </c>
      <c r="Q21" s="7" t="n">
        <f aca="false">Inputs!L20</f>
        <v>0.7</v>
      </c>
      <c r="R21" s="10" t="n">
        <f aca="false">L21*P21*Q21</f>
        <v>620.77640625</v>
      </c>
      <c r="S21" s="10" t="n">
        <f aca="false">L21-R21</f>
        <v>646.11421875</v>
      </c>
      <c r="T21" s="11" t="n">
        <f aca="false">S21/M21</f>
        <v>0.935</v>
      </c>
      <c r="U21" s="13" t="str">
        <f aca="false">IF(T21&lt;Parameters!$B$6,"Below tolerance",IF(T21&lt;=Parameters!$B$7,"Approximately at tolerance","Above tolerance"))</f>
        <v>Approximately at tolerance</v>
      </c>
      <c r="V21" s="11" t="n">
        <f aca="false">IF(O21=0,0,(L21-S21)/O21*1000)</f>
        <v>6.42182489224138</v>
      </c>
      <c r="W21" s="13" t="str">
        <f aca="false">IF(AND(P21&gt;=0,P21&lt;=1,Q21&gt;=0,Q21&lt;=1),"OK","CHECK")</f>
        <v>OK</v>
      </c>
    </row>
    <row r="22" customFormat="false" ht="23.85" hidden="false" customHeight="false" outlineLevel="0" collapsed="false">
      <c r="A22" s="5" t="str">
        <f aca="false">Inputs!A21</f>
        <v>S18</v>
      </c>
      <c r="B22" s="6" t="str">
        <f aca="false">Inputs!B21</f>
        <v>Web application flaw in the patient portal exposes other patients' records</v>
      </c>
      <c r="C22" s="7" t="n">
        <f aca="false">Inputs!C21</f>
        <v>0.5</v>
      </c>
      <c r="D22" s="7" t="n">
        <f aca="false">Inputs!D21</f>
        <v>0.35</v>
      </c>
      <c r="E22" s="8" t="n">
        <f aca="false">Inputs!J21</f>
        <v>7.1</v>
      </c>
      <c r="F22" s="7" t="n">
        <f aca="false">Inputs!E21</f>
        <v>0.5</v>
      </c>
      <c r="G22" s="7" t="n">
        <f aca="false">Inputs!F21</f>
        <v>0.85</v>
      </c>
      <c r="H22" s="7" t="n">
        <f aca="false">Inputs!H21</f>
        <v>0.75</v>
      </c>
      <c r="I22" s="7" t="n">
        <f aca="false">Inputs!G21</f>
        <v>0.4</v>
      </c>
      <c r="J22" s="7" t="n">
        <f aca="false">Parameters!$B$4</f>
        <v>0.3</v>
      </c>
      <c r="K22" s="9" t="n">
        <f aca="false">Parameters!$B$5</f>
        <v>1000</v>
      </c>
      <c r="L22" s="10" t="n">
        <f aca="false">C22*D22*E22*((F22+G22)/2)*H22/I22*K22</f>
        <v>1572.5390625</v>
      </c>
      <c r="M22" s="10" t="n">
        <f aca="false">C22*D22*E22*J22*H22/I22*K22</f>
        <v>698.90625</v>
      </c>
      <c r="N22" s="11" t="n">
        <f aca="false">L22/M22</f>
        <v>2.25</v>
      </c>
      <c r="O22" s="12" t="n">
        <f aca="false">Portfolio!AB27</f>
        <v>264670.588235294</v>
      </c>
      <c r="P22" s="7" t="n">
        <f aca="false">Inputs!K21</f>
        <v>0.8</v>
      </c>
      <c r="Q22" s="7" t="n">
        <f aca="false">Inputs!L21</f>
        <v>0.6</v>
      </c>
      <c r="R22" s="10" t="n">
        <f aca="false">L22*P22*Q22</f>
        <v>754.81875</v>
      </c>
      <c r="S22" s="10" t="n">
        <f aca="false">L22-R22</f>
        <v>817.7203125</v>
      </c>
      <c r="T22" s="11" t="n">
        <f aca="false">S22/M22</f>
        <v>1.17</v>
      </c>
      <c r="U22" s="13" t="str">
        <f aca="false">IF(T22&lt;Parameters!$B$6,"Below tolerance",IF(T22&lt;=Parameters!$B$7,"Approximately at tolerance","Above tolerance"))</f>
        <v>Above tolerance</v>
      </c>
      <c r="V22" s="11" t="n">
        <f aca="false">IF(O22=0,0,(L22-S22)/O22*1000)</f>
        <v>2.85191775570076</v>
      </c>
      <c r="W22" s="13" t="str">
        <f aca="false">IF(AND(P22&gt;=0,P22&lt;=1,Q22&gt;=0,Q22&lt;=1),"OK","CHECK")</f>
        <v>OK</v>
      </c>
    </row>
    <row r="23" customFormat="false" ht="23.85" hidden="false" customHeight="false" outlineLevel="0" collapsed="false">
      <c r="A23" s="5" t="str">
        <f aca="false">Inputs!A22</f>
        <v>S19</v>
      </c>
      <c r="B23" s="6" t="str">
        <f aca="false">Inputs!B22</f>
        <v>Trojanized software update from a clinical or IT software supplier</v>
      </c>
      <c r="C23" s="7" t="n">
        <f aca="false">Inputs!C22</f>
        <v>0.25</v>
      </c>
      <c r="D23" s="7" t="n">
        <f aca="false">Inputs!D22</f>
        <v>0.5</v>
      </c>
      <c r="E23" s="8" t="n">
        <f aca="false">Inputs!J22</f>
        <v>9.5</v>
      </c>
      <c r="F23" s="7" t="n">
        <f aca="false">Inputs!E22</f>
        <v>0.6</v>
      </c>
      <c r="G23" s="7" t="n">
        <f aca="false">Inputs!F22</f>
        <v>0.95</v>
      </c>
      <c r="H23" s="7" t="n">
        <f aca="false">Inputs!H22</f>
        <v>0.85</v>
      </c>
      <c r="I23" s="7" t="n">
        <f aca="false">Inputs!G22</f>
        <v>0.35</v>
      </c>
      <c r="J23" s="7" t="n">
        <f aca="false">Parameters!$B$4</f>
        <v>0.3</v>
      </c>
      <c r="K23" s="9" t="n">
        <f aca="false">Parameters!$B$5</f>
        <v>1000</v>
      </c>
      <c r="L23" s="10" t="n">
        <f aca="false">C23*D23*E23*((F23+G23)/2)*H23/I23*K23</f>
        <v>2235.04464285714</v>
      </c>
      <c r="M23" s="10" t="n">
        <f aca="false">C23*D23*E23*J23*H23/I23*K23</f>
        <v>865.178571428571</v>
      </c>
      <c r="N23" s="11" t="n">
        <f aca="false">L23/M23</f>
        <v>2.58333333333333</v>
      </c>
      <c r="O23" s="12" t="n">
        <f aca="false">Portfolio!AC27</f>
        <v>138692.810457516</v>
      </c>
      <c r="P23" s="7" t="n">
        <f aca="false">Inputs!K22</f>
        <v>0.4</v>
      </c>
      <c r="Q23" s="7" t="n">
        <f aca="false">Inputs!L22</f>
        <v>0.65</v>
      </c>
      <c r="R23" s="10" t="n">
        <f aca="false">L23*P23*Q23</f>
        <v>581.111607142857</v>
      </c>
      <c r="S23" s="10" t="n">
        <f aca="false">L23-R23</f>
        <v>1653.93303571429</v>
      </c>
      <c r="T23" s="11" t="n">
        <f aca="false">S23/M23</f>
        <v>1.91166666666667</v>
      </c>
      <c r="U23" s="13" t="str">
        <f aca="false">IF(T23&lt;Parameters!$B$6,"Below tolerance",IF(T23&lt;=Parameters!$B$7,"Approximately at tolerance","Above tolerance"))</f>
        <v>Above tolerance</v>
      </c>
      <c r="V23" s="11" t="n">
        <f aca="false">IF(O23=0,0,(L23-S23)/O23*1000)</f>
        <v>4.18991875084152</v>
      </c>
      <c r="W23" s="13" t="str">
        <f aca="false">IF(AND(P23&gt;=0,P23&lt;=1,Q23&gt;=0,Q23&lt;=1),"OK","CHECK")</f>
        <v>OK</v>
      </c>
    </row>
    <row r="24" customFormat="false" ht="23.85" hidden="false" customHeight="false" outlineLevel="0" collapsed="false">
      <c r="A24" s="5" t="str">
        <f aca="false">Inputs!A23</f>
        <v>S20</v>
      </c>
      <c r="B24" s="6" t="str">
        <f aca="false">Inputs!B23</f>
        <v>Takeover of cloud tenant administration through token theft or malicious app consent</v>
      </c>
      <c r="C24" s="7" t="n">
        <f aca="false">Inputs!C23</f>
        <v>0.55</v>
      </c>
      <c r="D24" s="7" t="n">
        <f aca="false">Inputs!D23</f>
        <v>0.4</v>
      </c>
      <c r="E24" s="8" t="n">
        <f aca="false">Inputs!J23</f>
        <v>9.4</v>
      </c>
      <c r="F24" s="7" t="n">
        <f aca="false">Inputs!E23</f>
        <v>0.55</v>
      </c>
      <c r="G24" s="7" t="n">
        <f aca="false">Inputs!F23</f>
        <v>0.9</v>
      </c>
      <c r="H24" s="7" t="n">
        <f aca="false">Inputs!H23</f>
        <v>0.85</v>
      </c>
      <c r="I24" s="7" t="n">
        <f aca="false">Inputs!G23</f>
        <v>0.4</v>
      </c>
      <c r="J24" s="7" t="n">
        <f aca="false">Parameters!$B$4</f>
        <v>0.3</v>
      </c>
      <c r="K24" s="9" t="n">
        <f aca="false">Parameters!$B$5</f>
        <v>1000</v>
      </c>
      <c r="L24" s="10" t="n">
        <f aca="false">C24*D24*E24*((F24+G24)/2)*H24/I24*K24</f>
        <v>3186.0125</v>
      </c>
      <c r="M24" s="10" t="n">
        <f aca="false">C24*D24*E24*J24*H24/I24*K24</f>
        <v>1318.35</v>
      </c>
      <c r="N24" s="11" t="n">
        <f aca="false">L24/M24</f>
        <v>2.41666666666667</v>
      </c>
      <c r="O24" s="12" t="n">
        <f aca="false">Portfolio!AD27</f>
        <v>167422.969187675</v>
      </c>
      <c r="P24" s="7" t="n">
        <f aca="false">Inputs!K23</f>
        <v>0.8</v>
      </c>
      <c r="Q24" s="7" t="n">
        <f aca="false">Inputs!L23</f>
        <v>0.65</v>
      </c>
      <c r="R24" s="10" t="n">
        <f aca="false">L24*P24*Q24</f>
        <v>1656.7265</v>
      </c>
      <c r="S24" s="10" t="n">
        <f aca="false">L24-R24</f>
        <v>1529.286</v>
      </c>
      <c r="T24" s="11" t="n">
        <f aca="false">S24/M24</f>
        <v>1.16</v>
      </c>
      <c r="U24" s="13" t="str">
        <f aca="false">IF(T24&lt;Parameters!$B$6,"Below tolerance",IF(T24&lt;=Parameters!$B$7,"Approximately at tolerance","Above tolerance"))</f>
        <v>Above tolerance</v>
      </c>
      <c r="V24" s="11" t="n">
        <f aca="false">IF(O24=0,0,(L24-S24)/O24*1000)</f>
        <v>9.89545525347165</v>
      </c>
      <c r="W24" s="13" t="str">
        <f aca="false">IF(AND(P24&gt;=0,P24&lt;=1,Q24&gt;=0,Q24&lt;=1),"OK","CHECK")</f>
        <v>OK</v>
      </c>
    </row>
    <row r="25" customFormat="false" ht="15" hidden="false" customHeight="false" outlineLevel="0" collapsed="false">
      <c r="A25" s="5" t="str">
        <f aca="false">Inputs!A24</f>
        <v>S21</v>
      </c>
      <c r="B25" s="6" t="str">
        <f aca="false">Inputs!B24</f>
        <v>Accidental disclosure of patient information by staff</v>
      </c>
      <c r="C25" s="7" t="n">
        <f aca="false">Inputs!C24</f>
        <v>0.85</v>
      </c>
      <c r="D25" s="7" t="n">
        <f aca="false">Inputs!D24</f>
        <v>0.5</v>
      </c>
      <c r="E25" s="8" t="n">
        <f aca="false">Inputs!J24</f>
        <v>4.8</v>
      </c>
      <c r="F25" s="7" t="n">
        <f aca="false">Inputs!E24</f>
        <v>0.2</v>
      </c>
      <c r="G25" s="7" t="n">
        <f aca="false">Inputs!F24</f>
        <v>0.45</v>
      </c>
      <c r="H25" s="7" t="n">
        <f aca="false">Inputs!H24</f>
        <v>0.6</v>
      </c>
      <c r="I25" s="7" t="n">
        <f aca="false">Inputs!G24</f>
        <v>0.45</v>
      </c>
      <c r="J25" s="7" t="n">
        <f aca="false">Parameters!$B$4</f>
        <v>0.3</v>
      </c>
      <c r="K25" s="9" t="n">
        <f aca="false">Parameters!$B$5</f>
        <v>1000</v>
      </c>
      <c r="L25" s="10" t="n">
        <f aca="false">C25*D25*E25*((F25+G25)/2)*H25/I25*K25</f>
        <v>884</v>
      </c>
      <c r="M25" s="10" t="n">
        <f aca="false">C25*D25*E25*J25*H25/I25*K25</f>
        <v>816</v>
      </c>
      <c r="N25" s="11" t="n">
        <f aca="false">L25/M25</f>
        <v>1.08333333333333</v>
      </c>
      <c r="O25" s="12" t="n">
        <f aca="false">Portfolio!AE27</f>
        <v>127333.333333333</v>
      </c>
      <c r="P25" s="7" t="n">
        <f aca="false">Inputs!K24</f>
        <v>0.6</v>
      </c>
      <c r="Q25" s="7" t="n">
        <f aca="false">Inputs!L24</f>
        <v>0.55</v>
      </c>
      <c r="R25" s="10" t="n">
        <f aca="false">L25*P25*Q25</f>
        <v>291.72</v>
      </c>
      <c r="S25" s="10" t="n">
        <f aca="false">L25-R25</f>
        <v>592.28</v>
      </c>
      <c r="T25" s="11" t="n">
        <f aca="false">S25/M25</f>
        <v>0.725833333333333</v>
      </c>
      <c r="U25" s="13" t="str">
        <f aca="false">IF(T25&lt;Parameters!$B$6,"Below tolerance",IF(T25&lt;=Parameters!$B$7,"Approximately at tolerance","Above tolerance"))</f>
        <v>Below tolerance</v>
      </c>
      <c r="V25" s="11" t="n">
        <f aca="false">IF(O25=0,0,(L25-S25)/O25*1000)</f>
        <v>2.29099476439791</v>
      </c>
      <c r="W25" s="13" t="str">
        <f aca="false">IF(AND(P25&gt;=0,P25&lt;=1,Q25&gt;=0,Q25&lt;=1),"OK","CHECK")</f>
        <v>OK</v>
      </c>
    </row>
    <row r="26" customFormat="false" ht="23.85" hidden="false" customHeight="false" outlineLevel="0" collapsed="false">
      <c r="A26" s="5" t="str">
        <f aca="false">Inputs!A25</f>
        <v>S22</v>
      </c>
      <c r="B26" s="6" t="str">
        <f aca="false">Inputs!B25</f>
        <v>Interception or exposure of teleconsultations and clinical messaging</v>
      </c>
      <c r="C26" s="7" t="n">
        <f aca="false">Inputs!C25</f>
        <v>0.35</v>
      </c>
      <c r="D26" s="7" t="n">
        <f aca="false">Inputs!D25</f>
        <v>0.35</v>
      </c>
      <c r="E26" s="8" t="n">
        <f aca="false">Inputs!J25</f>
        <v>8.2</v>
      </c>
      <c r="F26" s="7" t="n">
        <f aca="false">Inputs!E25</f>
        <v>0.3</v>
      </c>
      <c r="G26" s="7" t="n">
        <f aca="false">Inputs!F25</f>
        <v>0.55</v>
      </c>
      <c r="H26" s="7" t="n">
        <f aca="false">Inputs!H25</f>
        <v>0.6</v>
      </c>
      <c r="I26" s="7" t="n">
        <f aca="false">Inputs!G25</f>
        <v>0.45</v>
      </c>
      <c r="J26" s="7" t="n">
        <f aca="false">Parameters!$B$4</f>
        <v>0.3</v>
      </c>
      <c r="K26" s="9" t="n">
        <f aca="false">Parameters!$B$5</f>
        <v>1000</v>
      </c>
      <c r="L26" s="10" t="n">
        <f aca="false">C26*D26*E26*((F26+G26)/2)*H26/I26*K26</f>
        <v>569.216666666667</v>
      </c>
      <c r="M26" s="10" t="n">
        <f aca="false">C26*D26*E26*J26*H26/I26*K26</f>
        <v>401.8</v>
      </c>
      <c r="N26" s="11" t="n">
        <f aca="false">L26/M26</f>
        <v>1.41666666666667</v>
      </c>
      <c r="O26" s="12" t="n">
        <f aca="false">Portfolio!AF27</f>
        <v>70000</v>
      </c>
      <c r="P26" s="7" t="n">
        <f aca="false">Inputs!K25</f>
        <v>0.75</v>
      </c>
      <c r="Q26" s="7" t="n">
        <f aca="false">Inputs!L25</f>
        <v>0.6</v>
      </c>
      <c r="R26" s="10" t="n">
        <f aca="false">L26*P26*Q26</f>
        <v>256.1475</v>
      </c>
      <c r="S26" s="10" t="n">
        <f aca="false">L26-R26</f>
        <v>313.069166666667</v>
      </c>
      <c r="T26" s="11" t="n">
        <f aca="false">S26/M26</f>
        <v>0.779166666666667</v>
      </c>
      <c r="U26" s="13" t="str">
        <f aca="false">IF(T26&lt;Parameters!$B$6,"Below tolerance",IF(T26&lt;=Parameters!$B$7,"Approximately at tolerance","Above tolerance"))</f>
        <v>Below tolerance</v>
      </c>
      <c r="V26" s="11" t="n">
        <f aca="false">IF(O26=0,0,(L26-S26)/O26*1000)</f>
        <v>3.65925</v>
      </c>
      <c r="W26" s="13" t="str">
        <f aca="false">IF(AND(P26&gt;=0,P26&lt;=1,Q26&gt;=0,Q26&lt;=1),"OK","CHECK")</f>
        <v>OK</v>
      </c>
    </row>
    <row r="27" customFormat="false" ht="23.85" hidden="false" customHeight="false" outlineLevel="0" collapsed="false">
      <c r="A27" s="5" t="str">
        <f aca="false">Inputs!A26</f>
        <v>S23</v>
      </c>
      <c r="B27" s="6" t="str">
        <f aca="false">Inputs!B26</f>
        <v>Brute force or credential stuffing against exposed administrative interfaces</v>
      </c>
      <c r="C27" s="7" t="n">
        <f aca="false">Inputs!C26</f>
        <v>0.7</v>
      </c>
      <c r="D27" s="7" t="n">
        <f aca="false">Inputs!D26</f>
        <v>0.35</v>
      </c>
      <c r="E27" s="8" t="n">
        <f aca="false">Inputs!J26</f>
        <v>9.5</v>
      </c>
      <c r="F27" s="7" t="n">
        <f aca="false">Inputs!E26</f>
        <v>0.6</v>
      </c>
      <c r="G27" s="7" t="n">
        <f aca="false">Inputs!F26</f>
        <v>0.9</v>
      </c>
      <c r="H27" s="7" t="n">
        <f aca="false">Inputs!H26</f>
        <v>0.85</v>
      </c>
      <c r="I27" s="7" t="n">
        <f aca="false">Inputs!G26</f>
        <v>0.4</v>
      </c>
      <c r="J27" s="7" t="n">
        <f aca="false">Parameters!$B$4</f>
        <v>0.3</v>
      </c>
      <c r="K27" s="9" t="n">
        <f aca="false">Parameters!$B$5</f>
        <v>1000</v>
      </c>
      <c r="L27" s="10" t="n">
        <f aca="false">C27*D27*E27*((F27+G27)/2)*H27/I27*K27</f>
        <v>3709.453125</v>
      </c>
      <c r="M27" s="10" t="n">
        <f aca="false">C27*D27*E27*J27*H27/I27*K27</f>
        <v>1483.78125</v>
      </c>
      <c r="N27" s="11" t="n">
        <f aca="false">L27/M27</f>
        <v>2.5</v>
      </c>
      <c r="O27" s="12" t="n">
        <f aca="false">Portfolio!AG27</f>
        <v>180622.969187675</v>
      </c>
      <c r="P27" s="7" t="n">
        <f aca="false">Inputs!K26</f>
        <v>0.85</v>
      </c>
      <c r="Q27" s="7" t="n">
        <f aca="false">Inputs!L26</f>
        <v>0.65</v>
      </c>
      <c r="R27" s="10" t="n">
        <f aca="false">L27*P27*Q27</f>
        <v>2049.4728515625</v>
      </c>
      <c r="S27" s="10" t="n">
        <f aca="false">L27-R27</f>
        <v>1659.9802734375</v>
      </c>
      <c r="T27" s="11" t="n">
        <f aca="false">S27/M27</f>
        <v>1.11875</v>
      </c>
      <c r="U27" s="13" t="str">
        <f aca="false">IF(T27&lt;Parameters!$B$6,"Below tolerance",IF(T27&lt;=Parameters!$B$7,"Approximately at tolerance","Above tolerance"))</f>
        <v>Above tolerance</v>
      </c>
      <c r="V27" s="11" t="n">
        <f aca="false">IF(O27=0,0,(L27-S27)/O27*1000)</f>
        <v>11.3466900736916</v>
      </c>
      <c r="W27" s="13" t="str">
        <f aca="false">IF(AND(P27&gt;=0,P27&lt;=1,Q27&gt;=0,Q27&lt;=1),"OK","CHECK")</f>
        <v>OK</v>
      </c>
    </row>
    <row r="28" customFormat="false" ht="23.85" hidden="false" customHeight="false" outlineLevel="0" collapsed="false">
      <c r="A28" s="5" t="str">
        <f aca="false">Inputs!A27</f>
        <v>S24</v>
      </c>
      <c r="B28" s="6" t="str">
        <f aca="false">Inputs!B27</f>
        <v>Malware introduced through patient-supplied imaging media or USB devices</v>
      </c>
      <c r="C28" s="7" t="n">
        <f aca="false">Inputs!C27</f>
        <v>0.35</v>
      </c>
      <c r="D28" s="7" t="n">
        <f aca="false">Inputs!D27</f>
        <v>0.4</v>
      </c>
      <c r="E28" s="8" t="n">
        <f aca="false">Inputs!J27</f>
        <v>7</v>
      </c>
      <c r="F28" s="7" t="n">
        <f aca="false">Inputs!E27</f>
        <v>0.45</v>
      </c>
      <c r="G28" s="7" t="n">
        <f aca="false">Inputs!F27</f>
        <v>0.8</v>
      </c>
      <c r="H28" s="7" t="n">
        <f aca="false">Inputs!H27</f>
        <v>0.8</v>
      </c>
      <c r="I28" s="7" t="n">
        <f aca="false">Inputs!G27</f>
        <v>0.4</v>
      </c>
      <c r="J28" s="7" t="n">
        <f aca="false">Parameters!$B$4</f>
        <v>0.3</v>
      </c>
      <c r="K28" s="9" t="n">
        <f aca="false">Parameters!$B$5</f>
        <v>1000</v>
      </c>
      <c r="L28" s="10" t="n">
        <f aca="false">C28*D28*E28*((F28+G28)/2)*H28/I28*K28</f>
        <v>1225</v>
      </c>
      <c r="M28" s="10" t="n">
        <f aca="false">C28*D28*E28*J28*H28/I28*K28</f>
        <v>588</v>
      </c>
      <c r="N28" s="11" t="n">
        <f aca="false">L28/M28</f>
        <v>2.08333333333333</v>
      </c>
      <c r="O28" s="12" t="n">
        <f aca="false">Portfolio!AH27</f>
        <v>261756.302521008</v>
      </c>
      <c r="P28" s="7" t="n">
        <f aca="false">Inputs!K27</f>
        <v>0.75</v>
      </c>
      <c r="Q28" s="7" t="n">
        <f aca="false">Inputs!L27</f>
        <v>0.65</v>
      </c>
      <c r="R28" s="10" t="n">
        <f aca="false">L28*P28*Q28</f>
        <v>597.1875</v>
      </c>
      <c r="S28" s="10" t="n">
        <f aca="false">L28-R28</f>
        <v>627.8125</v>
      </c>
      <c r="T28" s="11" t="n">
        <f aca="false">S28/M28</f>
        <v>1.06770833333333</v>
      </c>
      <c r="U28" s="13" t="str">
        <f aca="false">IF(T28&lt;Parameters!$B$6,"Below tolerance",IF(T28&lt;=Parameters!$B$7,"Approximately at tolerance","Above tolerance"))</f>
        <v>Approximately at tolerance</v>
      </c>
      <c r="V28" s="11" t="n">
        <f aca="false">IF(O28=0,0,(L28-S28)/O28*1000)</f>
        <v>2.28146369064817</v>
      </c>
      <c r="W28" s="13" t="str">
        <f aca="false">IF(AND(P28&gt;=0,P28&lt;=1,Q28&gt;=0,Q28&lt;=1),"OK","CHECK")</f>
        <v>OK</v>
      </c>
    </row>
    <row r="29" customFormat="false" ht="23.85" hidden="false" customHeight="false" outlineLevel="0" collapsed="false">
      <c r="A29" s="5" t="str">
        <f aca="false">Inputs!A28</f>
        <v>S25</v>
      </c>
      <c r="B29" s="6" t="str">
        <f aca="false">Inputs!B28</f>
        <v>Retired devices or medical equipment released with recoverable patient data</v>
      </c>
      <c r="C29" s="7" t="n">
        <f aca="false">Inputs!C28</f>
        <v>0.4</v>
      </c>
      <c r="D29" s="7" t="n">
        <f aca="false">Inputs!D28</f>
        <v>0.35</v>
      </c>
      <c r="E29" s="8" t="n">
        <f aca="false">Inputs!J28</f>
        <v>5.1</v>
      </c>
      <c r="F29" s="7" t="n">
        <f aca="false">Inputs!E28</f>
        <v>0.35</v>
      </c>
      <c r="G29" s="7" t="n">
        <f aca="false">Inputs!F28</f>
        <v>0.65</v>
      </c>
      <c r="H29" s="7" t="n">
        <f aca="false">Inputs!H28</f>
        <v>0.55</v>
      </c>
      <c r="I29" s="7" t="n">
        <f aca="false">Inputs!G28</f>
        <v>0.45</v>
      </c>
      <c r="J29" s="7" t="n">
        <f aca="false">Parameters!$B$4</f>
        <v>0.3</v>
      </c>
      <c r="K29" s="9" t="n">
        <f aca="false">Parameters!$B$5</f>
        <v>1000</v>
      </c>
      <c r="L29" s="10" t="n">
        <f aca="false">C29*D29*E29*((F29+G29)/2)*H29/I29*K29</f>
        <v>436.333333333333</v>
      </c>
      <c r="M29" s="10" t="n">
        <f aca="false">C29*D29*E29*J29*H29/I29*K29</f>
        <v>261.8</v>
      </c>
      <c r="N29" s="11" t="n">
        <f aca="false">L29/M29</f>
        <v>1.66666666666667</v>
      </c>
      <c r="O29" s="12" t="n">
        <f aca="false">Portfolio!AI27</f>
        <v>96666.6666666667</v>
      </c>
      <c r="P29" s="7" t="n">
        <f aca="false">Inputs!K28</f>
        <v>0.85</v>
      </c>
      <c r="Q29" s="7" t="n">
        <f aca="false">Inputs!L28</f>
        <v>0.6</v>
      </c>
      <c r="R29" s="10" t="n">
        <f aca="false">L29*P29*Q29</f>
        <v>222.53</v>
      </c>
      <c r="S29" s="10" t="n">
        <f aca="false">L29-R29</f>
        <v>213.803333333333</v>
      </c>
      <c r="T29" s="11" t="n">
        <f aca="false">S29/M29</f>
        <v>0.816666666666667</v>
      </c>
      <c r="U29" s="13" t="str">
        <f aca="false">IF(T29&lt;Parameters!$B$6,"Below tolerance",IF(T29&lt;=Parameters!$B$7,"Approximately at tolerance","Above tolerance"))</f>
        <v>Below tolerance</v>
      </c>
      <c r="V29" s="11" t="n">
        <f aca="false">IF(O29=0,0,(L29-S29)/O29*1000)</f>
        <v>2.30203448275862</v>
      </c>
      <c r="W29" s="13" t="str">
        <f aca="false">IF(AND(P29&gt;=0,P29&lt;=1,Q29&gt;=0,Q29&lt;=1),"OK","CHECK")</f>
        <v>OK</v>
      </c>
    </row>
    <row r="30" customFormat="false" ht="15" hidden="false" customHeight="false" outlineLevel="0" collapsed="false">
      <c r="A30" s="5" t="str">
        <f aca="false">Inputs!A29</f>
        <v>S26</v>
      </c>
      <c r="B30" s="6" t="str">
        <f aca="false">Inputs!B29</f>
        <v>Staff paste patient data into unapproved generative-AI tools</v>
      </c>
      <c r="C30" s="7" t="n">
        <f aca="false">Inputs!C29</f>
        <v>0.8</v>
      </c>
      <c r="D30" s="7" t="n">
        <f aca="false">Inputs!D29</f>
        <v>0.55</v>
      </c>
      <c r="E30" s="8" t="n">
        <f aca="false">Inputs!J29</f>
        <v>6</v>
      </c>
      <c r="F30" s="7" t="n">
        <f aca="false">Inputs!E29</f>
        <v>0.35</v>
      </c>
      <c r="G30" s="7" t="n">
        <f aca="false">Inputs!F29</f>
        <v>0.65</v>
      </c>
      <c r="H30" s="7" t="n">
        <f aca="false">Inputs!H29</f>
        <v>0.7</v>
      </c>
      <c r="I30" s="7" t="n">
        <f aca="false">Inputs!G29</f>
        <v>0.4</v>
      </c>
      <c r="J30" s="7" t="n">
        <f aca="false">Parameters!$B$4</f>
        <v>0.3</v>
      </c>
      <c r="K30" s="9" t="n">
        <f aca="false">Parameters!$B$5</f>
        <v>1000</v>
      </c>
      <c r="L30" s="10" t="n">
        <f aca="false">C30*D30*E30*((F30+G30)/2)*H30/I30*K30</f>
        <v>2310</v>
      </c>
      <c r="M30" s="10" t="n">
        <f aca="false">C30*D30*E30*J30*H30/I30*K30</f>
        <v>1386</v>
      </c>
      <c r="N30" s="11" t="n">
        <f aca="false">L30/M30</f>
        <v>1.66666666666667</v>
      </c>
      <c r="O30" s="12" t="n">
        <f aca="false">Portfolio!AJ27</f>
        <v>174000</v>
      </c>
      <c r="P30" s="7" t="n">
        <f aca="false">Inputs!K29</f>
        <v>0.65</v>
      </c>
      <c r="Q30" s="7" t="n">
        <f aca="false">Inputs!L29</f>
        <v>0.55</v>
      </c>
      <c r="R30" s="10" t="n">
        <f aca="false">L30*P30*Q30</f>
        <v>825.825</v>
      </c>
      <c r="S30" s="10" t="n">
        <f aca="false">L30-R30</f>
        <v>1484.175</v>
      </c>
      <c r="T30" s="11" t="n">
        <f aca="false">S30/M30</f>
        <v>1.07083333333333</v>
      </c>
      <c r="U30" s="13" t="str">
        <f aca="false">IF(T30&lt;Parameters!$B$6,"Below tolerance",IF(T30&lt;=Parameters!$B$7,"Approximately at tolerance","Above tolerance"))</f>
        <v>Approximately at tolerance</v>
      </c>
      <c r="V30" s="11" t="n">
        <f aca="false">IF(O30=0,0,(L30-S30)/O30*1000)</f>
        <v>4.74612068965517</v>
      </c>
      <c r="W30" s="13" t="str">
        <f aca="false">IF(AND(P30&gt;=0,P30&lt;=1,Q30&gt;=0,Q30&lt;=1),"OK","CHECK")</f>
        <v>OK</v>
      </c>
    </row>
    <row r="31" customFormat="false" ht="23.85" hidden="false" customHeight="false" outlineLevel="0" collapsed="false">
      <c r="A31" s="5" t="str">
        <f aca="false">Inputs!A30</f>
        <v>S27</v>
      </c>
      <c r="B31" s="6" t="str">
        <f aca="false">Inputs!B30</f>
        <v>Help-desk impersonation leads to MFA reset and account takeover</v>
      </c>
      <c r="C31" s="7" t="n">
        <f aca="false">Inputs!C30</f>
        <v>0.55</v>
      </c>
      <c r="D31" s="7" t="n">
        <f aca="false">Inputs!D30</f>
        <v>0.5</v>
      </c>
      <c r="E31" s="8" t="n">
        <f aca="false">Inputs!J30</f>
        <v>9.3</v>
      </c>
      <c r="F31" s="7" t="n">
        <f aca="false">Inputs!E30</f>
        <v>0.55</v>
      </c>
      <c r="G31" s="7" t="n">
        <f aca="false">Inputs!F30</f>
        <v>0.9</v>
      </c>
      <c r="H31" s="7" t="n">
        <f aca="false">Inputs!H30</f>
        <v>0.85</v>
      </c>
      <c r="I31" s="7" t="n">
        <f aca="false">Inputs!G30</f>
        <v>0.4</v>
      </c>
      <c r="J31" s="7" t="n">
        <f aca="false">Parameters!$B$4</f>
        <v>0.3</v>
      </c>
      <c r="K31" s="9" t="n">
        <f aca="false">Parameters!$B$5</f>
        <v>1000</v>
      </c>
      <c r="L31" s="10" t="n">
        <f aca="false">C31*D31*E31*((F31+G31)/2)*H31/I31*K31</f>
        <v>3940.1484375</v>
      </c>
      <c r="M31" s="10" t="n">
        <f aca="false">C31*D31*E31*J31*H31/I31*K31</f>
        <v>1630.40625</v>
      </c>
      <c r="N31" s="11" t="n">
        <f aca="false">L31/M31</f>
        <v>2.41666666666667</v>
      </c>
      <c r="O31" s="12" t="n">
        <f aca="false">Portfolio!AK27</f>
        <v>85285.7142857143</v>
      </c>
      <c r="P31" s="7" t="n">
        <f aca="false">Inputs!K30</f>
        <v>0.8</v>
      </c>
      <c r="Q31" s="7" t="n">
        <f aca="false">Inputs!L30</f>
        <v>0.6</v>
      </c>
      <c r="R31" s="10" t="n">
        <f aca="false">L31*P31*Q31</f>
        <v>1891.27125</v>
      </c>
      <c r="S31" s="10" t="n">
        <f aca="false">L31-R31</f>
        <v>2048.8771875</v>
      </c>
      <c r="T31" s="11" t="n">
        <f aca="false">S31/M31</f>
        <v>1.25666666666667</v>
      </c>
      <c r="U31" s="13" t="str">
        <f aca="false">IF(T31&lt;Parameters!$B$6,"Below tolerance",IF(T31&lt;=Parameters!$B$7,"Approximately at tolerance","Above tolerance"))</f>
        <v>Above tolerance</v>
      </c>
      <c r="V31" s="11" t="n">
        <f aca="false">IF(O31=0,0,(L31-S31)/O31*1000)</f>
        <v>22.175709798995</v>
      </c>
      <c r="W31" s="13" t="str">
        <f aca="false">IF(AND(P31&gt;=0,P31&lt;=1,Q31&gt;=0,Q31&lt;=1),"OK","CHECK")</f>
        <v>OK</v>
      </c>
    </row>
    <row r="32" customFormat="false" ht="15" hidden="false" customHeight="false" outlineLevel="0" collapsed="false">
      <c r="A32" s="5" t="str">
        <f aca="false">Inputs!A31</f>
        <v>S28</v>
      </c>
      <c r="B32" s="6" t="str">
        <f aca="false">Inputs!B31</f>
        <v>Malicious or departing IT administrator sabotages systems</v>
      </c>
      <c r="C32" s="7" t="n">
        <f aca="false">Inputs!C31</f>
        <v>0.15</v>
      </c>
      <c r="D32" s="7" t="n">
        <f aca="false">Inputs!D31</f>
        <v>0.6</v>
      </c>
      <c r="E32" s="8" t="n">
        <f aca="false">Inputs!J31</f>
        <v>9.4</v>
      </c>
      <c r="F32" s="7" t="n">
        <f aca="false">Inputs!E31</f>
        <v>0.6</v>
      </c>
      <c r="G32" s="7" t="n">
        <f aca="false">Inputs!F31</f>
        <v>0.95</v>
      </c>
      <c r="H32" s="7" t="n">
        <f aca="false">Inputs!H31</f>
        <v>0.9</v>
      </c>
      <c r="I32" s="7" t="n">
        <f aca="false">Inputs!G31</f>
        <v>0.35</v>
      </c>
      <c r="J32" s="7" t="n">
        <f aca="false">Parameters!$B$4</f>
        <v>0.3</v>
      </c>
      <c r="K32" s="9" t="n">
        <f aca="false">Parameters!$B$5</f>
        <v>1000</v>
      </c>
      <c r="L32" s="10" t="n">
        <f aca="false">C32*D32*E32*((F32+G32)/2)*H32/I32*K32</f>
        <v>1685.95714285714</v>
      </c>
      <c r="M32" s="10" t="n">
        <f aca="false">C32*D32*E32*J32*H32/I32*K32</f>
        <v>652.628571428572</v>
      </c>
      <c r="N32" s="11" t="n">
        <f aca="false">L32/M32</f>
        <v>2.58333333333333</v>
      </c>
      <c r="O32" s="12" t="n">
        <f aca="false">Portfolio!AL27</f>
        <v>192859.477124183</v>
      </c>
      <c r="P32" s="7" t="n">
        <f aca="false">Inputs!K31</f>
        <v>0.55</v>
      </c>
      <c r="Q32" s="7" t="n">
        <f aca="false">Inputs!L31</f>
        <v>0.6</v>
      </c>
      <c r="R32" s="10" t="n">
        <f aca="false">L32*P32*Q32</f>
        <v>556.365857142857</v>
      </c>
      <c r="S32" s="10" t="n">
        <f aca="false">L32-R32</f>
        <v>1129.59128571429</v>
      </c>
      <c r="T32" s="11" t="n">
        <f aca="false">S32/M32</f>
        <v>1.73083333333333</v>
      </c>
      <c r="U32" s="13" t="str">
        <f aca="false">IF(T32&lt;Parameters!$B$6,"Below tolerance",IF(T32&lt;=Parameters!$B$7,"Approximately at tolerance","Above tolerance"))</f>
        <v>Above tolerance</v>
      </c>
      <c r="V32" s="11" t="n">
        <f aca="false">IF(O32=0,0,(L32-S32)/O32*1000)</f>
        <v>2.88482508321129</v>
      </c>
      <c r="W32" s="13" t="str">
        <f aca="false">IF(AND(P32&gt;=0,P32&lt;=1,Q32&gt;=0,Q32&lt;=1),"OK","CHECK")</f>
        <v>OK</v>
      </c>
    </row>
    <row r="33" customFormat="false" ht="23.85" hidden="false" customHeight="false" outlineLevel="0" collapsed="false">
      <c r="A33" s="5" t="str">
        <f aca="false">Inputs!A32</f>
        <v>S29</v>
      </c>
      <c r="B33" s="6" t="str">
        <f aca="false">Inputs!B32</f>
        <v>Interception or tampering of unencrypted clinical interface traffic (HL7/DICOM)</v>
      </c>
      <c r="C33" s="7" t="n">
        <f aca="false">Inputs!C32</f>
        <v>0.25</v>
      </c>
      <c r="D33" s="7" t="n">
        <f aca="false">Inputs!D32</f>
        <v>0.4</v>
      </c>
      <c r="E33" s="8" t="n">
        <f aca="false">Inputs!J32</f>
        <v>8.6</v>
      </c>
      <c r="F33" s="7" t="n">
        <f aca="false">Inputs!E32</f>
        <v>0.45</v>
      </c>
      <c r="G33" s="7" t="n">
        <f aca="false">Inputs!F32</f>
        <v>0.85</v>
      </c>
      <c r="H33" s="7" t="n">
        <f aca="false">Inputs!H32</f>
        <v>0.85</v>
      </c>
      <c r="I33" s="7" t="n">
        <f aca="false">Inputs!G32</f>
        <v>0.4</v>
      </c>
      <c r="J33" s="7" t="n">
        <f aca="false">Parameters!$B$4</f>
        <v>0.3</v>
      </c>
      <c r="K33" s="9" t="n">
        <f aca="false">Parameters!$B$5</f>
        <v>1000</v>
      </c>
      <c r="L33" s="10" t="n">
        <f aca="false">C33*D33*E33*((F33+G33)/2)*H33/I33*K33</f>
        <v>1187.875</v>
      </c>
      <c r="M33" s="10" t="n">
        <f aca="false">C33*D33*E33*J33*H33/I33*K33</f>
        <v>548.25</v>
      </c>
      <c r="N33" s="11" t="n">
        <f aca="false">L33/M33</f>
        <v>2.16666666666667</v>
      </c>
      <c r="O33" s="12" t="n">
        <f aca="false">Portfolio!AM27</f>
        <v>214285.714285714</v>
      </c>
      <c r="P33" s="7" t="n">
        <f aca="false">Inputs!K32</f>
        <v>0.75</v>
      </c>
      <c r="Q33" s="7" t="n">
        <f aca="false">Inputs!L32</f>
        <v>0.7</v>
      </c>
      <c r="R33" s="10" t="n">
        <f aca="false">L33*P33*Q33</f>
        <v>623.634375</v>
      </c>
      <c r="S33" s="10" t="n">
        <f aca="false">L33-R33</f>
        <v>564.240625</v>
      </c>
      <c r="T33" s="11" t="n">
        <f aca="false">S33/M33</f>
        <v>1.02916666666667</v>
      </c>
      <c r="U33" s="13" t="str">
        <f aca="false">IF(T33&lt;Parameters!$B$6,"Below tolerance",IF(T33&lt;=Parameters!$B$7,"Approximately at tolerance","Above tolerance"))</f>
        <v>Approximately at tolerance</v>
      </c>
      <c r="V33" s="11" t="n">
        <f aca="false">IF(O33=0,0,(L33-S33)/O33*1000)</f>
        <v>2.91029375</v>
      </c>
      <c r="W33" s="13" t="str">
        <f aca="false">IF(AND(P33&gt;=0,P33&lt;=1,Q33&gt;=0,Q33&lt;=1),"OK","CHECK")</f>
        <v>OK</v>
      </c>
    </row>
    <row r="34" customFormat="false" ht="15" hidden="false" customHeight="false" outlineLevel="0" collapsed="false">
      <c r="A34" s="5" t="str">
        <f aca="false">Inputs!A33</f>
        <v>S30</v>
      </c>
      <c r="B34" s="6" t="str">
        <f aca="false">Inputs!B33</f>
        <v>Criminals impersonate MediBec to defraud or phish patients</v>
      </c>
      <c r="C34" s="7" t="n">
        <f aca="false">Inputs!C33</f>
        <v>0.7</v>
      </c>
      <c r="D34" s="7" t="n">
        <f aca="false">Inputs!D33</f>
        <v>0.5</v>
      </c>
      <c r="E34" s="8" t="n">
        <f aca="false">Inputs!J33</f>
        <v>5.1</v>
      </c>
      <c r="F34" s="7" t="n">
        <f aca="false">Inputs!E33</f>
        <v>0.3</v>
      </c>
      <c r="G34" s="7" t="n">
        <f aca="false">Inputs!F33</f>
        <v>0.55</v>
      </c>
      <c r="H34" s="7" t="n">
        <f aca="false">Inputs!H33</f>
        <v>0.55</v>
      </c>
      <c r="I34" s="7" t="n">
        <f aca="false">Inputs!G33</f>
        <v>0.45</v>
      </c>
      <c r="J34" s="7" t="n">
        <f aca="false">Parameters!$B$4</f>
        <v>0.3</v>
      </c>
      <c r="K34" s="9" t="n">
        <f aca="false">Parameters!$B$5</f>
        <v>1000</v>
      </c>
      <c r="L34" s="10" t="n">
        <f aca="false">C34*D34*E34*((F34+G34)/2)*H34/I34*K34</f>
        <v>927.208333333333</v>
      </c>
      <c r="M34" s="10" t="n">
        <f aca="false">C34*D34*E34*J34*H34/I34*K34</f>
        <v>654.5</v>
      </c>
      <c r="N34" s="11" t="n">
        <f aca="false">L34/M34</f>
        <v>1.41666666666667</v>
      </c>
      <c r="O34" s="12" t="n">
        <f aca="false">Portfolio!AN27</f>
        <v>93500</v>
      </c>
      <c r="P34" s="7" t="n">
        <f aca="false">Inputs!K33</f>
        <v>0.55</v>
      </c>
      <c r="Q34" s="7" t="n">
        <f aca="false">Inputs!L33</f>
        <v>0.6</v>
      </c>
      <c r="R34" s="10" t="n">
        <f aca="false">L34*P34*Q34</f>
        <v>305.97875</v>
      </c>
      <c r="S34" s="10" t="n">
        <f aca="false">L34-R34</f>
        <v>621.229583333333</v>
      </c>
      <c r="T34" s="11" t="n">
        <f aca="false">S34/M34</f>
        <v>0.949166666666667</v>
      </c>
      <c r="U34" s="13" t="str">
        <f aca="false">IF(T34&lt;Parameters!$B$6,"Below tolerance",IF(T34&lt;=Parameters!$B$7,"Approximately at tolerance","Above tolerance"))</f>
        <v>Approximately at tolerance</v>
      </c>
      <c r="V34" s="11" t="n">
        <f aca="false">IF(O34=0,0,(L34-S34)/O34*1000)</f>
        <v>3.2725</v>
      </c>
      <c r="W34" s="13" t="str">
        <f aca="false">IF(AND(P34&gt;=0,P34&lt;=1,Q34&gt;=0,Q34&lt;=1),"OK","CHECK")</f>
        <v>OK</v>
      </c>
    </row>
    <row r="35" customFormat="false" ht="15" hidden="false" customHeight="false" outlineLevel="0" collapsed="false">
      <c r="B35" s="14" t="s">
        <v>45</v>
      </c>
      <c r="L35" s="15" t="n">
        <f aca="false">SUM(L5:L34)</f>
        <v>84305.4712053571</v>
      </c>
      <c r="M35" s="15" t="n">
        <f aca="false">SUM(M5:M34)</f>
        <v>37123.2571428571</v>
      </c>
      <c r="O35" s="16" t="n">
        <f aca="false">SUM(O5:O34)</f>
        <v>5311000</v>
      </c>
      <c r="R35" s="15" t="n">
        <f aca="false">SUM(R5:R34)</f>
        <v>43282.7033113839</v>
      </c>
      <c r="S35" s="15" t="n">
        <f aca="false">SUM(S5:S34)</f>
        <v>41022.7678939732</v>
      </c>
      <c r="T35" s="17" t="n">
        <f aca="false">S35/M35</f>
        <v>1.10504225790614</v>
      </c>
      <c r="V35" s="17" t="n">
        <f aca="false">(L35-S35)/O35*1000</f>
        <v>8.14963346100243</v>
      </c>
    </row>
    <row r="37" customFormat="false" ht="15" hidden="false" customHeight="false" outlineLevel="0" collapsed="false">
      <c r="B37" s="3" t="s">
        <v>46</v>
      </c>
    </row>
  </sheetData>
  <conditionalFormatting sqref="T5:T34">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2"/>
    <col collapsed="false" customWidth="true" hidden="false" outlineLevel="0" max="3" min="3" style="1" width="90"/>
  </cols>
  <sheetData>
    <row r="1" customFormat="false" ht="17.35" hidden="false" customHeight="false" outlineLevel="0" collapsed="false">
      <c r="A1" s="2" t="s">
        <v>47</v>
      </c>
    </row>
    <row r="3" customFormat="false" ht="15" hidden="false" customHeight="false" outlineLevel="0" collapsed="false">
      <c r="A3" s="4" t="s">
        <v>48</v>
      </c>
      <c r="B3" s="4" t="s">
        <v>49</v>
      </c>
      <c r="C3" s="4" t="s">
        <v>50</v>
      </c>
    </row>
    <row r="4" customFormat="false" ht="15" hidden="false" customHeight="false" outlineLevel="0" collapsed="false">
      <c r="A4" s="13" t="s">
        <v>51</v>
      </c>
      <c r="B4" s="18" t="n">
        <v>0.3</v>
      </c>
      <c r="C4" s="13" t="s">
        <v>52</v>
      </c>
    </row>
    <row r="5" customFormat="false" ht="15" hidden="false" customHeight="false" outlineLevel="0" collapsed="false">
      <c r="A5" s="13" t="s">
        <v>53</v>
      </c>
      <c r="B5" s="19" t="n">
        <v>1000</v>
      </c>
      <c r="C5" s="13" t="s">
        <v>54</v>
      </c>
    </row>
    <row r="6" customFormat="false" ht="15" hidden="false" customHeight="false" outlineLevel="0" collapsed="false">
      <c r="A6" s="13" t="s">
        <v>55</v>
      </c>
      <c r="B6" s="19" t="n">
        <v>0.9</v>
      </c>
      <c r="C6" s="13" t="s">
        <v>56</v>
      </c>
    </row>
    <row r="7" customFormat="false" ht="15" hidden="false" customHeight="false" outlineLevel="0" collapsed="false">
      <c r="A7" s="13" t="s">
        <v>57</v>
      </c>
      <c r="B7" s="19" t="n">
        <v>1.1</v>
      </c>
      <c r="C7" s="13" t="s">
        <v>58</v>
      </c>
    </row>
    <row r="8" customFormat="false" ht="15" hidden="false" customHeight="false" outlineLevel="0" collapsed="false">
      <c r="A8" s="13" t="s">
        <v>59</v>
      </c>
      <c r="B8" s="19" t="n">
        <v>0.4</v>
      </c>
      <c r="C8" s="13" t="s">
        <v>60</v>
      </c>
    </row>
    <row r="9" customFormat="false" ht="15" hidden="false" customHeight="false" outlineLevel="0" collapsed="false">
      <c r="A9" s="13" t="s">
        <v>61</v>
      </c>
      <c r="B9" s="19" t="n">
        <v>0.1</v>
      </c>
      <c r="C9" s="13" t="s">
        <v>62</v>
      </c>
    </row>
    <row r="10" customFormat="false" ht="15" hidden="false" customHeight="false" outlineLevel="0" collapsed="false">
      <c r="A10" s="13" t="s">
        <v>63</v>
      </c>
      <c r="B10" s="19" t="n">
        <v>0.25</v>
      </c>
      <c r="C10" s="13" t="s">
        <v>60</v>
      </c>
    </row>
    <row r="11" customFormat="false" ht="15" hidden="false" customHeight="false" outlineLevel="0" collapsed="false">
      <c r="A11" s="13" t="s">
        <v>64</v>
      </c>
      <c r="B11" s="19" t="n">
        <v>0.4</v>
      </c>
      <c r="C11" s="13" t="s">
        <v>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8"/>
    <col collapsed="false" customWidth="true" hidden="false" outlineLevel="0" max="4" min="4" style="1" width="9"/>
    <col collapsed="false" customWidth="true" hidden="false" outlineLevel="0" max="8" min="5" style="1" width="7"/>
    <col collapsed="false" customWidth="true" hidden="false" outlineLevel="0" max="9" min="9" style="1" width="62"/>
    <col collapsed="false" customWidth="true" hidden="false" outlineLevel="0" max="10" min="10" style="1" width="8"/>
    <col collapsed="false" customWidth="true" hidden="false" outlineLevel="0" max="12" min="11" style="1" width="10"/>
    <col collapsed="false" customWidth="true" hidden="false" outlineLevel="0" max="13" min="13" style="1" width="8"/>
    <col collapsed="false" customWidth="true" hidden="false" outlineLevel="0" max="14" min="14" style="1" width="9"/>
    <col collapsed="false" customWidth="true" hidden="false" outlineLevel="0" max="18" min="15" style="1" width="8"/>
  </cols>
  <sheetData>
    <row r="1" customFormat="false" ht="17.35" hidden="false" customHeight="false" outlineLevel="0" collapsed="false">
      <c r="A1" s="2" t="s">
        <v>65</v>
      </c>
    </row>
    <row r="3" customFormat="false" ht="23.85" hidden="false" customHeight="false" outlineLevel="0" collapsed="false">
      <c r="A3" s="4" t="s">
        <v>22</v>
      </c>
      <c r="B3" s="4" t="s">
        <v>23</v>
      </c>
      <c r="C3" s="4" t="s">
        <v>24</v>
      </c>
      <c r="D3" s="4" t="s">
        <v>25</v>
      </c>
      <c r="E3" s="4" t="s">
        <v>27</v>
      </c>
      <c r="F3" s="4" t="s">
        <v>28</v>
      </c>
      <c r="G3" s="4" t="s">
        <v>30</v>
      </c>
      <c r="H3" s="4" t="s">
        <v>29</v>
      </c>
      <c r="I3" s="4" t="s">
        <v>66</v>
      </c>
      <c r="J3" s="4" t="s">
        <v>26</v>
      </c>
      <c r="K3" s="4" t="s">
        <v>37</v>
      </c>
      <c r="L3" s="4" t="s">
        <v>38</v>
      </c>
      <c r="M3" s="4" t="s">
        <v>67</v>
      </c>
      <c r="N3" s="4" t="s">
        <v>68</v>
      </c>
      <c r="O3" s="4" t="s">
        <v>69</v>
      </c>
      <c r="P3" s="4" t="s">
        <v>70</v>
      </c>
      <c r="Q3" s="4" t="s">
        <v>71</v>
      </c>
      <c r="R3" s="4" t="s">
        <v>72</v>
      </c>
    </row>
    <row r="4" customFormat="false" ht="23.85" hidden="false" customHeight="false" outlineLevel="0" collapsed="false">
      <c r="A4" s="13" t="s">
        <v>73</v>
      </c>
      <c r="B4" s="20" t="s">
        <v>74</v>
      </c>
      <c r="C4" s="21" t="n">
        <v>0.85</v>
      </c>
      <c r="D4" s="21" t="n">
        <v>0.55</v>
      </c>
      <c r="E4" s="21" t="n">
        <v>0.55</v>
      </c>
      <c r="F4" s="21" t="n">
        <v>0.85</v>
      </c>
      <c r="G4" s="21" t="n">
        <v>0.4</v>
      </c>
      <c r="H4" s="21" t="n">
        <v>0.85</v>
      </c>
      <c r="I4" s="19" t="s">
        <v>75</v>
      </c>
      <c r="J4" s="22" t="n">
        <v>9.3</v>
      </c>
      <c r="K4" s="21" t="n">
        <v>0.8</v>
      </c>
      <c r="L4" s="21" t="n">
        <v>0.75</v>
      </c>
      <c r="M4" s="19" t="s">
        <v>76</v>
      </c>
      <c r="N4" s="19" t="s">
        <v>77</v>
      </c>
      <c r="O4" s="19" t="s">
        <v>76</v>
      </c>
      <c r="P4" s="19" t="s">
        <v>76</v>
      </c>
      <c r="Q4" s="19" t="s">
        <v>76</v>
      </c>
      <c r="R4" s="19" t="s">
        <v>78</v>
      </c>
    </row>
    <row r="5" customFormat="false" ht="23.85" hidden="false" customHeight="false" outlineLevel="0" collapsed="false">
      <c r="A5" s="13" t="s">
        <v>79</v>
      </c>
      <c r="B5" s="20" t="s">
        <v>80</v>
      </c>
      <c r="C5" s="21" t="n">
        <v>0.75</v>
      </c>
      <c r="D5" s="21" t="n">
        <v>0.5</v>
      </c>
      <c r="E5" s="21" t="n">
        <v>0.7</v>
      </c>
      <c r="F5" s="21" t="n">
        <v>0.95</v>
      </c>
      <c r="G5" s="21" t="n">
        <v>0.35</v>
      </c>
      <c r="H5" s="21" t="n">
        <v>0.95</v>
      </c>
      <c r="I5" s="19" t="s">
        <v>81</v>
      </c>
      <c r="J5" s="22" t="n">
        <v>9.3</v>
      </c>
      <c r="K5" s="21" t="n">
        <v>0.75</v>
      </c>
      <c r="L5" s="21" t="n">
        <v>0.75</v>
      </c>
      <c r="M5" s="19" t="s">
        <v>76</v>
      </c>
      <c r="N5" s="19" t="s">
        <v>77</v>
      </c>
      <c r="O5" s="19" t="s">
        <v>76</v>
      </c>
      <c r="P5" s="19" t="s">
        <v>76</v>
      </c>
      <c r="Q5" s="19" t="s">
        <v>76</v>
      </c>
      <c r="R5" s="19" t="s">
        <v>78</v>
      </c>
    </row>
    <row r="6" customFormat="false" ht="23.85" hidden="false" customHeight="false" outlineLevel="0" collapsed="false">
      <c r="A6" s="13" t="s">
        <v>82</v>
      </c>
      <c r="B6" s="20" t="s">
        <v>83</v>
      </c>
      <c r="C6" s="21" t="n">
        <v>0.55</v>
      </c>
      <c r="D6" s="21" t="n">
        <v>0.5</v>
      </c>
      <c r="E6" s="21" t="n">
        <v>0.6</v>
      </c>
      <c r="F6" s="21" t="n">
        <v>0.9</v>
      </c>
      <c r="G6" s="21" t="n">
        <v>0.35</v>
      </c>
      <c r="H6" s="21" t="n">
        <v>0.9</v>
      </c>
      <c r="I6" s="19" t="s">
        <v>84</v>
      </c>
      <c r="J6" s="22" t="n">
        <v>9.2</v>
      </c>
      <c r="K6" s="21" t="n">
        <v>0.8</v>
      </c>
      <c r="L6" s="21" t="n">
        <v>0.85</v>
      </c>
      <c r="M6" s="19" t="s">
        <v>76</v>
      </c>
      <c r="N6" s="19" t="s">
        <v>77</v>
      </c>
      <c r="O6" s="19" t="s">
        <v>76</v>
      </c>
      <c r="P6" s="19" t="s">
        <v>76</v>
      </c>
      <c r="Q6" s="19" t="s">
        <v>76</v>
      </c>
      <c r="R6" s="19" t="s">
        <v>78</v>
      </c>
    </row>
    <row r="7" customFormat="false" ht="23.85" hidden="false" customHeight="false" outlineLevel="0" collapsed="false">
      <c r="A7" s="13" t="s">
        <v>85</v>
      </c>
      <c r="B7" s="20" t="s">
        <v>86</v>
      </c>
      <c r="C7" s="21" t="n">
        <v>0.6</v>
      </c>
      <c r="D7" s="21" t="n">
        <v>0.45</v>
      </c>
      <c r="E7" s="21" t="n">
        <v>0.55</v>
      </c>
      <c r="F7" s="21" t="n">
        <v>0.8</v>
      </c>
      <c r="G7" s="21" t="n">
        <v>0.4</v>
      </c>
      <c r="H7" s="21" t="n">
        <v>0.75</v>
      </c>
      <c r="I7" s="19" t="s">
        <v>87</v>
      </c>
      <c r="J7" s="22" t="n">
        <v>8.7</v>
      </c>
      <c r="K7" s="21" t="n">
        <v>0.85</v>
      </c>
      <c r="L7" s="21" t="n">
        <v>0.7</v>
      </c>
      <c r="M7" s="19" t="s">
        <v>76</v>
      </c>
      <c r="N7" s="19" t="s">
        <v>77</v>
      </c>
      <c r="O7" s="19" t="s">
        <v>76</v>
      </c>
      <c r="P7" s="19" t="s">
        <v>76</v>
      </c>
      <c r="Q7" s="19" t="s">
        <v>77</v>
      </c>
      <c r="R7" s="19" t="s">
        <v>76</v>
      </c>
    </row>
    <row r="8" customFormat="false" ht="23.85" hidden="false" customHeight="false" outlineLevel="0" collapsed="false">
      <c r="A8" s="13" t="s">
        <v>88</v>
      </c>
      <c r="B8" s="20" t="s">
        <v>89</v>
      </c>
      <c r="C8" s="21" t="n">
        <v>0.6</v>
      </c>
      <c r="D8" s="21" t="n">
        <v>0.55</v>
      </c>
      <c r="E8" s="21" t="n">
        <v>0.45</v>
      </c>
      <c r="F8" s="21" t="n">
        <v>0.75</v>
      </c>
      <c r="G8" s="21" t="n">
        <v>0.4</v>
      </c>
      <c r="H8" s="21" t="n">
        <v>0.8</v>
      </c>
      <c r="I8" s="19" t="s">
        <v>90</v>
      </c>
      <c r="J8" s="22" t="n">
        <v>7.1</v>
      </c>
      <c r="K8" s="21" t="n">
        <v>0.6</v>
      </c>
      <c r="L8" s="21" t="n">
        <v>0.65</v>
      </c>
      <c r="M8" s="19" t="s">
        <v>76</v>
      </c>
      <c r="N8" s="19" t="s">
        <v>76</v>
      </c>
      <c r="O8" s="19" t="s">
        <v>76</v>
      </c>
      <c r="P8" s="19" t="s">
        <v>76</v>
      </c>
      <c r="Q8" s="19" t="s">
        <v>76</v>
      </c>
      <c r="R8" s="19" t="s">
        <v>78</v>
      </c>
    </row>
    <row r="9" customFormat="false" ht="15" hidden="false" customHeight="false" outlineLevel="0" collapsed="false">
      <c r="A9" s="13" t="s">
        <v>91</v>
      </c>
      <c r="B9" s="20" t="s">
        <v>92</v>
      </c>
      <c r="C9" s="21" t="n">
        <v>0.8</v>
      </c>
      <c r="D9" s="21" t="n">
        <v>0.5</v>
      </c>
      <c r="E9" s="21" t="n">
        <v>0.6</v>
      </c>
      <c r="F9" s="21" t="n">
        <v>0.9</v>
      </c>
      <c r="G9" s="21" t="n">
        <v>0.4</v>
      </c>
      <c r="H9" s="21" t="n">
        <v>0.85</v>
      </c>
      <c r="I9" s="19" t="s">
        <v>93</v>
      </c>
      <c r="J9" s="22" t="n">
        <v>10</v>
      </c>
      <c r="K9" s="21" t="n">
        <v>0.85</v>
      </c>
      <c r="L9" s="21" t="n">
        <v>0.7</v>
      </c>
      <c r="M9" s="19" t="s">
        <v>76</v>
      </c>
      <c r="N9" s="19" t="s">
        <v>77</v>
      </c>
      <c r="O9" s="19" t="s">
        <v>76</v>
      </c>
      <c r="P9" s="19" t="s">
        <v>76</v>
      </c>
      <c r="Q9" s="19" t="s">
        <v>76</v>
      </c>
      <c r="R9" s="19" t="s">
        <v>78</v>
      </c>
    </row>
    <row r="10" customFormat="false" ht="23.85" hidden="false" customHeight="false" outlineLevel="0" collapsed="false">
      <c r="A10" s="13" t="s">
        <v>94</v>
      </c>
      <c r="B10" s="20" t="s">
        <v>95</v>
      </c>
      <c r="C10" s="21" t="n">
        <v>0.45</v>
      </c>
      <c r="D10" s="21" t="n">
        <v>0.5</v>
      </c>
      <c r="E10" s="21" t="n">
        <v>0.55</v>
      </c>
      <c r="F10" s="21" t="n">
        <v>0.95</v>
      </c>
      <c r="G10" s="21" t="n">
        <v>0.35</v>
      </c>
      <c r="H10" s="21" t="n">
        <v>0.9</v>
      </c>
      <c r="I10" s="19" t="s">
        <v>96</v>
      </c>
      <c r="J10" s="22" t="n">
        <v>8.7</v>
      </c>
      <c r="K10" s="21" t="n">
        <v>0.7</v>
      </c>
      <c r="L10" s="21" t="n">
        <v>0.6</v>
      </c>
      <c r="M10" s="19" t="s">
        <v>77</v>
      </c>
      <c r="N10" s="19" t="s">
        <v>77</v>
      </c>
      <c r="O10" s="19" t="s">
        <v>76</v>
      </c>
      <c r="P10" s="19" t="s">
        <v>76</v>
      </c>
      <c r="Q10" s="19" t="s">
        <v>76</v>
      </c>
      <c r="R10" s="19" t="s">
        <v>78</v>
      </c>
    </row>
    <row r="11" customFormat="false" ht="15" hidden="false" customHeight="false" outlineLevel="0" collapsed="false">
      <c r="A11" s="13" t="s">
        <v>97</v>
      </c>
      <c r="B11" s="20" t="s">
        <v>98</v>
      </c>
      <c r="C11" s="21" t="n">
        <v>0.8</v>
      </c>
      <c r="D11" s="21" t="n">
        <v>0.6</v>
      </c>
      <c r="E11" s="21" t="n">
        <v>0.6</v>
      </c>
      <c r="F11" s="21" t="n">
        <v>0.9</v>
      </c>
      <c r="G11" s="21" t="n">
        <v>0.3</v>
      </c>
      <c r="H11" s="21" t="n">
        <v>0.85</v>
      </c>
      <c r="I11" s="19" t="s">
        <v>99</v>
      </c>
      <c r="J11" s="22" t="n">
        <v>9.2</v>
      </c>
      <c r="K11" s="21" t="n">
        <v>0.7</v>
      </c>
      <c r="L11" s="21" t="n">
        <v>0.8</v>
      </c>
      <c r="M11" s="19" t="s">
        <v>76</v>
      </c>
      <c r="N11" s="19" t="s">
        <v>76</v>
      </c>
      <c r="O11" s="19" t="s">
        <v>76</v>
      </c>
      <c r="P11" s="19" t="s">
        <v>76</v>
      </c>
      <c r="Q11" s="19" t="s">
        <v>76</v>
      </c>
      <c r="R11" s="19" t="s">
        <v>78</v>
      </c>
    </row>
    <row r="12" customFormat="false" ht="15" hidden="false" customHeight="false" outlineLevel="0" collapsed="false">
      <c r="A12" s="13" t="s">
        <v>100</v>
      </c>
      <c r="B12" s="20" t="s">
        <v>101</v>
      </c>
      <c r="C12" s="21" t="n">
        <v>0.55</v>
      </c>
      <c r="D12" s="21" t="n">
        <v>0.45</v>
      </c>
      <c r="E12" s="21" t="n">
        <v>0.6</v>
      </c>
      <c r="F12" s="21" t="n">
        <v>0.9</v>
      </c>
      <c r="G12" s="21" t="n">
        <v>0.35</v>
      </c>
      <c r="H12" s="21" t="n">
        <v>0.85</v>
      </c>
      <c r="I12" s="19" t="s">
        <v>102</v>
      </c>
      <c r="J12" s="22" t="n">
        <v>9</v>
      </c>
      <c r="K12" s="21" t="n">
        <v>0.55</v>
      </c>
      <c r="L12" s="21" t="n">
        <v>0.7</v>
      </c>
      <c r="M12" s="19" t="s">
        <v>77</v>
      </c>
      <c r="N12" s="19" t="s">
        <v>77</v>
      </c>
      <c r="O12" s="19" t="s">
        <v>76</v>
      </c>
      <c r="P12" s="19" t="s">
        <v>76</v>
      </c>
      <c r="Q12" s="19" t="s">
        <v>77</v>
      </c>
      <c r="R12" s="19" t="s">
        <v>78</v>
      </c>
    </row>
    <row r="13" customFormat="false" ht="23.85" hidden="false" customHeight="false" outlineLevel="0" collapsed="false">
      <c r="A13" s="13" t="s">
        <v>103</v>
      </c>
      <c r="B13" s="20" t="s">
        <v>104</v>
      </c>
      <c r="C13" s="21" t="n">
        <v>0.3</v>
      </c>
      <c r="D13" s="21" t="n">
        <v>0.4</v>
      </c>
      <c r="E13" s="21" t="n">
        <v>0.55</v>
      </c>
      <c r="F13" s="21" t="n">
        <v>0.95</v>
      </c>
      <c r="G13" s="21" t="n">
        <v>0.4</v>
      </c>
      <c r="H13" s="21" t="n">
        <v>0.95</v>
      </c>
      <c r="I13" s="19" t="s">
        <v>105</v>
      </c>
      <c r="J13" s="22" t="n">
        <v>8.3</v>
      </c>
      <c r="K13" s="21" t="n">
        <v>0.7</v>
      </c>
      <c r="L13" s="21" t="n">
        <v>0.75</v>
      </c>
      <c r="M13" s="19" t="s">
        <v>77</v>
      </c>
      <c r="N13" s="19" t="s">
        <v>77</v>
      </c>
      <c r="O13" s="19" t="s">
        <v>76</v>
      </c>
      <c r="P13" s="19" t="s">
        <v>76</v>
      </c>
      <c r="Q13" s="19" t="s">
        <v>77</v>
      </c>
      <c r="R13" s="19" t="s">
        <v>78</v>
      </c>
    </row>
    <row r="14" customFormat="false" ht="23.85" hidden="false" customHeight="false" outlineLevel="0" collapsed="false">
      <c r="A14" s="13" t="s">
        <v>106</v>
      </c>
      <c r="B14" s="20" t="s">
        <v>107</v>
      </c>
      <c r="C14" s="21" t="n">
        <v>0.45</v>
      </c>
      <c r="D14" s="21" t="n">
        <v>0.45</v>
      </c>
      <c r="E14" s="21" t="n">
        <v>0.5</v>
      </c>
      <c r="F14" s="21" t="n">
        <v>0.8</v>
      </c>
      <c r="G14" s="21" t="n">
        <v>0.4</v>
      </c>
      <c r="H14" s="21" t="n">
        <v>0.75</v>
      </c>
      <c r="I14" s="19" t="s">
        <v>108</v>
      </c>
      <c r="J14" s="22" t="n">
        <v>8.3</v>
      </c>
      <c r="K14" s="21" t="n">
        <v>0.85</v>
      </c>
      <c r="L14" s="21" t="n">
        <v>0.6</v>
      </c>
      <c r="M14" s="19" t="s">
        <v>77</v>
      </c>
      <c r="N14" s="19" t="s">
        <v>77</v>
      </c>
      <c r="O14" s="19" t="s">
        <v>76</v>
      </c>
      <c r="P14" s="19" t="s">
        <v>76</v>
      </c>
      <c r="Q14" s="19" t="s">
        <v>77</v>
      </c>
      <c r="R14" s="19" t="s">
        <v>76</v>
      </c>
    </row>
    <row r="15" customFormat="false" ht="23.85" hidden="false" customHeight="false" outlineLevel="0" collapsed="false">
      <c r="A15" s="13" t="s">
        <v>109</v>
      </c>
      <c r="B15" s="20" t="s">
        <v>110</v>
      </c>
      <c r="C15" s="21" t="n">
        <v>0.4</v>
      </c>
      <c r="D15" s="21" t="n">
        <v>0.45</v>
      </c>
      <c r="E15" s="21" t="n">
        <v>0.4</v>
      </c>
      <c r="F15" s="21" t="n">
        <v>0.75</v>
      </c>
      <c r="G15" s="21" t="n">
        <v>0.4</v>
      </c>
      <c r="H15" s="21" t="n">
        <v>0.7</v>
      </c>
      <c r="I15" s="19" t="s">
        <v>111</v>
      </c>
      <c r="J15" s="22" t="n">
        <v>6.4</v>
      </c>
      <c r="K15" s="21" t="n">
        <v>0.8</v>
      </c>
      <c r="L15" s="21" t="n">
        <v>0.65</v>
      </c>
      <c r="M15" s="19" t="s">
        <v>77</v>
      </c>
      <c r="N15" s="19" t="s">
        <v>77</v>
      </c>
      <c r="O15" s="19" t="s">
        <v>76</v>
      </c>
      <c r="P15" s="19" t="s">
        <v>76</v>
      </c>
      <c r="Q15" s="19" t="s">
        <v>77</v>
      </c>
      <c r="R15" s="19" t="s">
        <v>76</v>
      </c>
    </row>
    <row r="16" customFormat="false" ht="15" hidden="false" customHeight="false" outlineLevel="0" collapsed="false">
      <c r="A16" s="13" t="s">
        <v>112</v>
      </c>
      <c r="B16" s="20" t="s">
        <v>113</v>
      </c>
      <c r="C16" s="21" t="n">
        <v>0.5</v>
      </c>
      <c r="D16" s="21" t="n">
        <v>0.6</v>
      </c>
      <c r="E16" s="21" t="n">
        <v>0.3</v>
      </c>
      <c r="F16" s="21" t="n">
        <v>0.55</v>
      </c>
      <c r="G16" s="21" t="n">
        <v>0.45</v>
      </c>
      <c r="H16" s="21" t="n">
        <v>0.55</v>
      </c>
      <c r="I16" s="19" t="s">
        <v>114</v>
      </c>
      <c r="J16" s="22" t="n">
        <v>8.7</v>
      </c>
      <c r="K16" s="21" t="n">
        <v>0.8</v>
      </c>
      <c r="L16" s="21" t="n">
        <v>0.7</v>
      </c>
      <c r="M16" s="19" t="s">
        <v>77</v>
      </c>
      <c r="N16" s="19" t="s">
        <v>76</v>
      </c>
      <c r="O16" s="19" t="s">
        <v>76</v>
      </c>
      <c r="P16" s="19" t="s">
        <v>77</v>
      </c>
      <c r="Q16" s="19" t="s">
        <v>76</v>
      </c>
      <c r="R16" s="19" t="s">
        <v>77</v>
      </c>
    </row>
    <row r="17" customFormat="false" ht="15" hidden="false" customHeight="false" outlineLevel="0" collapsed="false">
      <c r="A17" s="13" t="s">
        <v>115</v>
      </c>
      <c r="B17" s="20" t="s">
        <v>116</v>
      </c>
      <c r="C17" s="21" t="n">
        <v>0.65</v>
      </c>
      <c r="D17" s="21" t="n">
        <v>0.4</v>
      </c>
      <c r="E17" s="21" t="n">
        <v>0.35</v>
      </c>
      <c r="F17" s="21" t="n">
        <v>0.6</v>
      </c>
      <c r="G17" s="21" t="n">
        <v>0.45</v>
      </c>
      <c r="H17" s="21" t="n">
        <v>0.55</v>
      </c>
      <c r="I17" s="19" t="s">
        <v>117</v>
      </c>
      <c r="J17" s="22" t="n">
        <v>5.1</v>
      </c>
      <c r="K17" s="21" t="n">
        <v>0.8</v>
      </c>
      <c r="L17" s="21" t="n">
        <v>0.6</v>
      </c>
      <c r="M17" s="19" t="s">
        <v>76</v>
      </c>
      <c r="N17" s="19" t="s">
        <v>77</v>
      </c>
      <c r="O17" s="19" t="s">
        <v>76</v>
      </c>
      <c r="P17" s="19" t="s">
        <v>77</v>
      </c>
      <c r="Q17" s="19" t="s">
        <v>77</v>
      </c>
      <c r="R17" s="19" t="s">
        <v>76</v>
      </c>
    </row>
    <row r="18" customFormat="false" ht="15" hidden="false" customHeight="false" outlineLevel="0" collapsed="false">
      <c r="A18" s="13" t="s">
        <v>118</v>
      </c>
      <c r="B18" s="20" t="s">
        <v>119</v>
      </c>
      <c r="C18" s="21" t="n">
        <v>0.7</v>
      </c>
      <c r="D18" s="21" t="n">
        <v>0.3</v>
      </c>
      <c r="E18" s="21" t="n">
        <v>0.25</v>
      </c>
      <c r="F18" s="21" t="n">
        <v>0.55</v>
      </c>
      <c r="G18" s="21" t="n">
        <v>0.45</v>
      </c>
      <c r="H18" s="21" t="n">
        <v>0.6</v>
      </c>
      <c r="I18" s="19" t="s">
        <v>120</v>
      </c>
      <c r="J18" s="22" t="n">
        <v>5.1</v>
      </c>
      <c r="K18" s="21" t="n">
        <v>0.75</v>
      </c>
      <c r="L18" s="21" t="n">
        <v>0.8</v>
      </c>
      <c r="M18" s="19" t="s">
        <v>76</v>
      </c>
      <c r="N18" s="19" t="s">
        <v>77</v>
      </c>
      <c r="O18" s="19" t="s">
        <v>76</v>
      </c>
      <c r="P18" s="19" t="s">
        <v>77</v>
      </c>
      <c r="Q18" s="19" t="s">
        <v>77</v>
      </c>
      <c r="R18" s="19" t="s">
        <v>76</v>
      </c>
    </row>
    <row r="19" customFormat="false" ht="23.85" hidden="false" customHeight="false" outlineLevel="0" collapsed="false">
      <c r="A19" s="13" t="s">
        <v>121</v>
      </c>
      <c r="B19" s="20" t="s">
        <v>122</v>
      </c>
      <c r="C19" s="21" t="n">
        <v>0.35</v>
      </c>
      <c r="D19" s="21" t="n">
        <v>0.5</v>
      </c>
      <c r="E19" s="21" t="n">
        <v>0.55</v>
      </c>
      <c r="F19" s="21" t="n">
        <v>0.85</v>
      </c>
      <c r="G19" s="21" t="n">
        <v>0.35</v>
      </c>
      <c r="H19" s="21" t="n">
        <v>0.95</v>
      </c>
      <c r="I19" s="19" t="s">
        <v>123</v>
      </c>
      <c r="J19" s="22" t="n">
        <v>8.9</v>
      </c>
      <c r="K19" s="21" t="n">
        <v>0.7</v>
      </c>
      <c r="L19" s="21" t="n">
        <v>0.65</v>
      </c>
      <c r="M19" s="19" t="s">
        <v>77</v>
      </c>
      <c r="N19" s="19" t="s">
        <v>77</v>
      </c>
      <c r="O19" s="19" t="s">
        <v>76</v>
      </c>
      <c r="P19" s="19" t="s">
        <v>76</v>
      </c>
      <c r="Q19" s="19" t="s">
        <v>76</v>
      </c>
      <c r="R19" s="19" t="s">
        <v>78</v>
      </c>
    </row>
    <row r="20" customFormat="false" ht="15" hidden="false" customHeight="false" outlineLevel="0" collapsed="false">
      <c r="A20" s="13" t="s">
        <v>124</v>
      </c>
      <c r="B20" s="20" t="s">
        <v>125</v>
      </c>
      <c r="C20" s="21" t="n">
        <v>0.45</v>
      </c>
      <c r="D20" s="21" t="n">
        <v>0.45</v>
      </c>
      <c r="E20" s="21" t="n">
        <v>0.4</v>
      </c>
      <c r="F20" s="21" t="n">
        <v>0.7</v>
      </c>
      <c r="G20" s="21" t="n">
        <v>0.4</v>
      </c>
      <c r="H20" s="21" t="n">
        <v>0.65</v>
      </c>
      <c r="I20" s="19" t="s">
        <v>126</v>
      </c>
      <c r="J20" s="22" t="n">
        <v>7</v>
      </c>
      <c r="K20" s="21" t="n">
        <v>0.7</v>
      </c>
      <c r="L20" s="21" t="n">
        <v>0.7</v>
      </c>
      <c r="M20" s="19" t="s">
        <v>77</v>
      </c>
      <c r="N20" s="19" t="s">
        <v>77</v>
      </c>
      <c r="O20" s="19" t="s">
        <v>76</v>
      </c>
      <c r="P20" s="19" t="s">
        <v>77</v>
      </c>
      <c r="Q20" s="19" t="s">
        <v>77</v>
      </c>
      <c r="R20" s="19" t="s">
        <v>76</v>
      </c>
    </row>
    <row r="21" customFormat="false" ht="15" hidden="false" customHeight="false" outlineLevel="0" collapsed="false">
      <c r="A21" s="13" t="s">
        <v>127</v>
      </c>
      <c r="B21" s="20" t="s">
        <v>128</v>
      </c>
      <c r="C21" s="21" t="n">
        <v>0.5</v>
      </c>
      <c r="D21" s="21" t="n">
        <v>0.35</v>
      </c>
      <c r="E21" s="21" t="n">
        <v>0.5</v>
      </c>
      <c r="F21" s="21" t="n">
        <v>0.85</v>
      </c>
      <c r="G21" s="21" t="n">
        <v>0.4</v>
      </c>
      <c r="H21" s="21" t="n">
        <v>0.75</v>
      </c>
      <c r="I21" s="19" t="s">
        <v>90</v>
      </c>
      <c r="J21" s="22" t="n">
        <v>7.1</v>
      </c>
      <c r="K21" s="21" t="n">
        <v>0.8</v>
      </c>
      <c r="L21" s="21" t="n">
        <v>0.6</v>
      </c>
      <c r="M21" s="19" t="s">
        <v>77</v>
      </c>
      <c r="N21" s="19" t="s">
        <v>77</v>
      </c>
      <c r="O21" s="19" t="s">
        <v>76</v>
      </c>
      <c r="P21" s="19" t="s">
        <v>76</v>
      </c>
      <c r="Q21" s="19" t="s">
        <v>77</v>
      </c>
      <c r="R21" s="19" t="s">
        <v>76</v>
      </c>
    </row>
    <row r="22" customFormat="false" ht="15" hidden="false" customHeight="false" outlineLevel="0" collapsed="false">
      <c r="A22" s="13" t="s">
        <v>129</v>
      </c>
      <c r="B22" s="20" t="s">
        <v>130</v>
      </c>
      <c r="C22" s="21" t="n">
        <v>0.25</v>
      </c>
      <c r="D22" s="21" t="n">
        <v>0.5</v>
      </c>
      <c r="E22" s="21" t="n">
        <v>0.6</v>
      </c>
      <c r="F22" s="21" t="n">
        <v>0.95</v>
      </c>
      <c r="G22" s="21" t="n">
        <v>0.35</v>
      </c>
      <c r="H22" s="21" t="n">
        <v>0.85</v>
      </c>
      <c r="I22" s="19" t="s">
        <v>131</v>
      </c>
      <c r="J22" s="22" t="n">
        <v>9.5</v>
      </c>
      <c r="K22" s="21" t="n">
        <v>0.4</v>
      </c>
      <c r="L22" s="21" t="n">
        <v>0.65</v>
      </c>
      <c r="M22" s="19" t="s">
        <v>77</v>
      </c>
      <c r="N22" s="19" t="s">
        <v>77</v>
      </c>
      <c r="O22" s="19" t="s">
        <v>77</v>
      </c>
      <c r="P22" s="19" t="s">
        <v>76</v>
      </c>
      <c r="Q22" s="19" t="s">
        <v>76</v>
      </c>
      <c r="R22" s="19" t="s">
        <v>76</v>
      </c>
    </row>
    <row r="23" customFormat="false" ht="23.85" hidden="false" customHeight="false" outlineLevel="0" collapsed="false">
      <c r="A23" s="13" t="s">
        <v>132</v>
      </c>
      <c r="B23" s="20" t="s">
        <v>133</v>
      </c>
      <c r="C23" s="21" t="n">
        <v>0.55</v>
      </c>
      <c r="D23" s="21" t="n">
        <v>0.4</v>
      </c>
      <c r="E23" s="21" t="n">
        <v>0.55</v>
      </c>
      <c r="F23" s="21" t="n">
        <v>0.9</v>
      </c>
      <c r="G23" s="21" t="n">
        <v>0.4</v>
      </c>
      <c r="H23" s="21" t="n">
        <v>0.85</v>
      </c>
      <c r="I23" s="19" t="s">
        <v>134</v>
      </c>
      <c r="J23" s="22" t="n">
        <v>9.4</v>
      </c>
      <c r="K23" s="21" t="n">
        <v>0.8</v>
      </c>
      <c r="L23" s="21" t="n">
        <v>0.65</v>
      </c>
      <c r="M23" s="19" t="s">
        <v>77</v>
      </c>
      <c r="N23" s="19" t="s">
        <v>77</v>
      </c>
      <c r="O23" s="19" t="s">
        <v>76</v>
      </c>
      <c r="P23" s="19" t="s">
        <v>76</v>
      </c>
      <c r="Q23" s="19" t="s">
        <v>77</v>
      </c>
      <c r="R23" s="19" t="s">
        <v>76</v>
      </c>
    </row>
    <row r="24" customFormat="false" ht="15" hidden="false" customHeight="false" outlineLevel="0" collapsed="false">
      <c r="A24" s="13" t="s">
        <v>135</v>
      </c>
      <c r="B24" s="20" t="s">
        <v>136</v>
      </c>
      <c r="C24" s="21" t="n">
        <v>0.85</v>
      </c>
      <c r="D24" s="21" t="n">
        <v>0.5</v>
      </c>
      <c r="E24" s="21" t="n">
        <v>0.2</v>
      </c>
      <c r="F24" s="21" t="n">
        <v>0.45</v>
      </c>
      <c r="G24" s="21" t="n">
        <v>0.45</v>
      </c>
      <c r="H24" s="21" t="n">
        <v>0.6</v>
      </c>
      <c r="I24" s="19" t="s">
        <v>137</v>
      </c>
      <c r="J24" s="22" t="n">
        <v>4.8</v>
      </c>
      <c r="K24" s="21" t="n">
        <v>0.6</v>
      </c>
      <c r="L24" s="21" t="n">
        <v>0.55</v>
      </c>
      <c r="M24" s="19" t="s">
        <v>76</v>
      </c>
      <c r="N24" s="19" t="s">
        <v>77</v>
      </c>
      <c r="O24" s="19" t="s">
        <v>76</v>
      </c>
      <c r="P24" s="19" t="s">
        <v>77</v>
      </c>
      <c r="Q24" s="19" t="s">
        <v>77</v>
      </c>
      <c r="R24" s="19" t="s">
        <v>76</v>
      </c>
    </row>
    <row r="25" customFormat="false" ht="15" hidden="false" customHeight="false" outlineLevel="0" collapsed="false">
      <c r="A25" s="13" t="s">
        <v>138</v>
      </c>
      <c r="B25" s="20" t="s">
        <v>139</v>
      </c>
      <c r="C25" s="21" t="n">
        <v>0.35</v>
      </c>
      <c r="D25" s="21" t="n">
        <v>0.35</v>
      </c>
      <c r="E25" s="21" t="n">
        <v>0.3</v>
      </c>
      <c r="F25" s="21" t="n">
        <v>0.55</v>
      </c>
      <c r="G25" s="21" t="n">
        <v>0.45</v>
      </c>
      <c r="H25" s="21" t="n">
        <v>0.6</v>
      </c>
      <c r="I25" s="19" t="s">
        <v>140</v>
      </c>
      <c r="J25" s="22" t="n">
        <v>8.2</v>
      </c>
      <c r="K25" s="21" t="n">
        <v>0.75</v>
      </c>
      <c r="L25" s="21" t="n">
        <v>0.6</v>
      </c>
      <c r="M25" s="19" t="s">
        <v>77</v>
      </c>
      <c r="N25" s="19" t="s">
        <v>77</v>
      </c>
      <c r="O25" s="19" t="s">
        <v>76</v>
      </c>
      <c r="P25" s="19" t="s">
        <v>77</v>
      </c>
      <c r="Q25" s="19" t="s">
        <v>77</v>
      </c>
      <c r="R25" s="19" t="s">
        <v>77</v>
      </c>
    </row>
    <row r="26" customFormat="false" ht="15" hidden="false" customHeight="false" outlineLevel="0" collapsed="false">
      <c r="A26" s="13" t="s">
        <v>141</v>
      </c>
      <c r="B26" s="20" t="s">
        <v>142</v>
      </c>
      <c r="C26" s="21" t="n">
        <v>0.7</v>
      </c>
      <c r="D26" s="21" t="n">
        <v>0.35</v>
      </c>
      <c r="E26" s="21" t="n">
        <v>0.6</v>
      </c>
      <c r="F26" s="21" t="n">
        <v>0.9</v>
      </c>
      <c r="G26" s="21" t="n">
        <v>0.4</v>
      </c>
      <c r="H26" s="21" t="n">
        <v>0.85</v>
      </c>
      <c r="I26" s="19" t="s">
        <v>143</v>
      </c>
      <c r="J26" s="22" t="n">
        <v>9.5</v>
      </c>
      <c r="K26" s="21" t="n">
        <v>0.85</v>
      </c>
      <c r="L26" s="21" t="n">
        <v>0.65</v>
      </c>
      <c r="M26" s="19" t="s">
        <v>76</v>
      </c>
      <c r="N26" s="19" t="s">
        <v>77</v>
      </c>
      <c r="O26" s="19" t="s">
        <v>76</v>
      </c>
      <c r="P26" s="19" t="s">
        <v>76</v>
      </c>
      <c r="Q26" s="19" t="s">
        <v>77</v>
      </c>
      <c r="R26" s="19" t="s">
        <v>78</v>
      </c>
    </row>
    <row r="27" customFormat="false" ht="23.85" hidden="false" customHeight="false" outlineLevel="0" collapsed="false">
      <c r="A27" s="13" t="s">
        <v>144</v>
      </c>
      <c r="B27" s="20" t="s">
        <v>145</v>
      </c>
      <c r="C27" s="21" t="n">
        <v>0.35</v>
      </c>
      <c r="D27" s="21" t="n">
        <v>0.4</v>
      </c>
      <c r="E27" s="21" t="n">
        <v>0.45</v>
      </c>
      <c r="F27" s="21" t="n">
        <v>0.8</v>
      </c>
      <c r="G27" s="21" t="n">
        <v>0.4</v>
      </c>
      <c r="H27" s="21" t="n">
        <v>0.8</v>
      </c>
      <c r="I27" s="19" t="s">
        <v>146</v>
      </c>
      <c r="J27" s="22" t="n">
        <v>7</v>
      </c>
      <c r="K27" s="21" t="n">
        <v>0.75</v>
      </c>
      <c r="L27" s="21" t="n">
        <v>0.65</v>
      </c>
      <c r="M27" s="19" t="s">
        <v>77</v>
      </c>
      <c r="N27" s="19" t="s">
        <v>77</v>
      </c>
      <c r="O27" s="19" t="s">
        <v>76</v>
      </c>
      <c r="P27" s="19" t="s">
        <v>77</v>
      </c>
      <c r="Q27" s="19" t="s">
        <v>77</v>
      </c>
      <c r="R27" s="19" t="s">
        <v>76</v>
      </c>
    </row>
    <row r="28" customFormat="false" ht="23.85" hidden="false" customHeight="false" outlineLevel="0" collapsed="false">
      <c r="A28" s="13" t="s">
        <v>147</v>
      </c>
      <c r="B28" s="20" t="s">
        <v>148</v>
      </c>
      <c r="C28" s="21" t="n">
        <v>0.4</v>
      </c>
      <c r="D28" s="21" t="n">
        <v>0.35</v>
      </c>
      <c r="E28" s="21" t="n">
        <v>0.35</v>
      </c>
      <c r="F28" s="21" t="n">
        <v>0.65</v>
      </c>
      <c r="G28" s="21" t="n">
        <v>0.45</v>
      </c>
      <c r="H28" s="21" t="n">
        <v>0.55</v>
      </c>
      <c r="I28" s="19" t="s">
        <v>120</v>
      </c>
      <c r="J28" s="22" t="n">
        <v>5.1</v>
      </c>
      <c r="K28" s="21" t="n">
        <v>0.85</v>
      </c>
      <c r="L28" s="21" t="n">
        <v>0.6</v>
      </c>
      <c r="M28" s="19" t="s">
        <v>77</v>
      </c>
      <c r="N28" s="19" t="s">
        <v>77</v>
      </c>
      <c r="O28" s="19" t="s">
        <v>76</v>
      </c>
      <c r="P28" s="19" t="s">
        <v>77</v>
      </c>
      <c r="Q28" s="19" t="s">
        <v>77</v>
      </c>
      <c r="R28" s="19" t="s">
        <v>77</v>
      </c>
    </row>
    <row r="29" customFormat="false" ht="15" hidden="false" customHeight="false" outlineLevel="0" collapsed="false">
      <c r="A29" s="13" t="s">
        <v>149</v>
      </c>
      <c r="B29" s="20" t="s">
        <v>150</v>
      </c>
      <c r="C29" s="21" t="n">
        <v>0.8</v>
      </c>
      <c r="D29" s="21" t="n">
        <v>0.55</v>
      </c>
      <c r="E29" s="21" t="n">
        <v>0.35</v>
      </c>
      <c r="F29" s="21" t="n">
        <v>0.65</v>
      </c>
      <c r="G29" s="21" t="n">
        <v>0.4</v>
      </c>
      <c r="H29" s="21" t="n">
        <v>0.7</v>
      </c>
      <c r="I29" s="19" t="s">
        <v>151</v>
      </c>
      <c r="J29" s="22" t="n">
        <v>6</v>
      </c>
      <c r="K29" s="21" t="n">
        <v>0.65</v>
      </c>
      <c r="L29" s="21" t="n">
        <v>0.55</v>
      </c>
      <c r="M29" s="19" t="s">
        <v>76</v>
      </c>
      <c r="N29" s="19" t="s">
        <v>77</v>
      </c>
      <c r="O29" s="19" t="s">
        <v>77</v>
      </c>
      <c r="P29" s="19" t="s">
        <v>77</v>
      </c>
      <c r="Q29" s="19" t="s">
        <v>77</v>
      </c>
      <c r="R29" s="19" t="s">
        <v>76</v>
      </c>
    </row>
    <row r="30" customFormat="false" ht="15" hidden="false" customHeight="false" outlineLevel="0" collapsed="false">
      <c r="A30" s="13" t="s">
        <v>152</v>
      </c>
      <c r="B30" s="20" t="s">
        <v>153</v>
      </c>
      <c r="C30" s="21" t="n">
        <v>0.55</v>
      </c>
      <c r="D30" s="21" t="n">
        <v>0.5</v>
      </c>
      <c r="E30" s="21" t="n">
        <v>0.55</v>
      </c>
      <c r="F30" s="21" t="n">
        <v>0.9</v>
      </c>
      <c r="G30" s="21" t="n">
        <v>0.4</v>
      </c>
      <c r="H30" s="21" t="n">
        <v>0.85</v>
      </c>
      <c r="I30" s="19" t="s">
        <v>154</v>
      </c>
      <c r="J30" s="22" t="n">
        <v>9.3</v>
      </c>
      <c r="K30" s="21" t="n">
        <v>0.8</v>
      </c>
      <c r="L30" s="21" t="n">
        <v>0.6</v>
      </c>
      <c r="M30" s="19" t="s">
        <v>77</v>
      </c>
      <c r="N30" s="19" t="s">
        <v>77</v>
      </c>
      <c r="O30" s="19" t="s">
        <v>76</v>
      </c>
      <c r="P30" s="19" t="s">
        <v>76</v>
      </c>
      <c r="Q30" s="19" t="s">
        <v>77</v>
      </c>
      <c r="R30" s="19" t="s">
        <v>78</v>
      </c>
    </row>
    <row r="31" customFormat="false" ht="15" hidden="false" customHeight="false" outlineLevel="0" collapsed="false">
      <c r="A31" s="13" t="s">
        <v>155</v>
      </c>
      <c r="B31" s="20" t="s">
        <v>156</v>
      </c>
      <c r="C31" s="21" t="n">
        <v>0.15</v>
      </c>
      <c r="D31" s="21" t="n">
        <v>0.6</v>
      </c>
      <c r="E31" s="21" t="n">
        <v>0.6</v>
      </c>
      <c r="F31" s="21" t="n">
        <v>0.95</v>
      </c>
      <c r="G31" s="21" t="n">
        <v>0.35</v>
      </c>
      <c r="H31" s="21" t="n">
        <v>0.9</v>
      </c>
      <c r="I31" s="19" t="s">
        <v>157</v>
      </c>
      <c r="J31" s="22" t="n">
        <v>9.4</v>
      </c>
      <c r="K31" s="21" t="n">
        <v>0.55</v>
      </c>
      <c r="L31" s="21" t="n">
        <v>0.6</v>
      </c>
      <c r="M31" s="19" t="s">
        <v>77</v>
      </c>
      <c r="N31" s="19" t="s">
        <v>76</v>
      </c>
      <c r="O31" s="19" t="s">
        <v>76</v>
      </c>
      <c r="P31" s="19" t="s">
        <v>76</v>
      </c>
      <c r="Q31" s="19" t="s">
        <v>76</v>
      </c>
      <c r="R31" s="19" t="s">
        <v>78</v>
      </c>
    </row>
    <row r="32" customFormat="false" ht="23.85" hidden="false" customHeight="false" outlineLevel="0" collapsed="false">
      <c r="A32" s="13" t="s">
        <v>158</v>
      </c>
      <c r="B32" s="20" t="s">
        <v>159</v>
      </c>
      <c r="C32" s="21" t="n">
        <v>0.25</v>
      </c>
      <c r="D32" s="21" t="n">
        <v>0.4</v>
      </c>
      <c r="E32" s="21" t="n">
        <v>0.45</v>
      </c>
      <c r="F32" s="21" t="n">
        <v>0.85</v>
      </c>
      <c r="G32" s="21" t="n">
        <v>0.4</v>
      </c>
      <c r="H32" s="21" t="n">
        <v>0.85</v>
      </c>
      <c r="I32" s="19" t="s">
        <v>160</v>
      </c>
      <c r="J32" s="22" t="n">
        <v>8.6</v>
      </c>
      <c r="K32" s="21" t="n">
        <v>0.75</v>
      </c>
      <c r="L32" s="21" t="n">
        <v>0.7</v>
      </c>
      <c r="M32" s="19" t="s">
        <v>77</v>
      </c>
      <c r="N32" s="19" t="s">
        <v>77</v>
      </c>
      <c r="O32" s="19" t="s">
        <v>77</v>
      </c>
      <c r="P32" s="19" t="s">
        <v>76</v>
      </c>
      <c r="Q32" s="19" t="s">
        <v>77</v>
      </c>
      <c r="R32" s="19" t="s">
        <v>78</v>
      </c>
    </row>
    <row r="33" customFormat="false" ht="15" hidden="false" customHeight="false" outlineLevel="0" collapsed="false">
      <c r="A33" s="13" t="s">
        <v>161</v>
      </c>
      <c r="B33" s="20" t="s">
        <v>162</v>
      </c>
      <c r="C33" s="21" t="n">
        <v>0.7</v>
      </c>
      <c r="D33" s="21" t="n">
        <v>0.5</v>
      </c>
      <c r="E33" s="21" t="n">
        <v>0.3</v>
      </c>
      <c r="F33" s="21" t="n">
        <v>0.55</v>
      </c>
      <c r="G33" s="21" t="n">
        <v>0.45</v>
      </c>
      <c r="H33" s="21" t="n">
        <v>0.55</v>
      </c>
      <c r="I33" s="19" t="s">
        <v>163</v>
      </c>
      <c r="J33" s="22" t="n">
        <v>5.1</v>
      </c>
      <c r="K33" s="21" t="n">
        <v>0.55</v>
      </c>
      <c r="L33" s="21" t="n">
        <v>0.6</v>
      </c>
      <c r="M33" s="19" t="s">
        <v>76</v>
      </c>
      <c r="N33" s="19" t="s">
        <v>77</v>
      </c>
      <c r="O33" s="19" t="s">
        <v>77</v>
      </c>
      <c r="P33" s="19" t="s">
        <v>77</v>
      </c>
      <c r="Q33" s="19" t="s">
        <v>77</v>
      </c>
      <c r="R33" s="19"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4"/>
    <col collapsed="false" customWidth="true" hidden="false" outlineLevel="0" max="3" min="3" style="1" width="26"/>
    <col collapsed="false" customWidth="true" hidden="false" outlineLevel="0" max="4" min="4" style="1" width="11"/>
    <col collapsed="false" customWidth="true" hidden="false" outlineLevel="0" max="5" min="5" style="1" width="16"/>
    <col collapsed="false" customWidth="true" hidden="false" outlineLevel="0" max="8" min="6" style="1" width="12"/>
    <col collapsed="false" customWidth="true" hidden="false" outlineLevel="0" max="9" min="9" style="1" width="9"/>
    <col collapsed="false" customWidth="true" hidden="false" outlineLevel="0" max="10" min="10" style="1" width="12"/>
    <col collapsed="false" customWidth="true" hidden="false" outlineLevel="0" max="40" min="11" style="1" width="5"/>
    <col collapsed="false" customWidth="true" hidden="false" outlineLevel="0" max="42" min="41" style="1" width="9"/>
    <col collapsed="false" customWidth="true" hidden="false" outlineLevel="0" max="43" min="43" style="1" width="50"/>
  </cols>
  <sheetData>
    <row r="1" customFormat="false" ht="17.35" hidden="false" customHeight="false" outlineLevel="0" collapsed="false">
      <c r="A1" s="2" t="s">
        <v>164</v>
      </c>
    </row>
    <row r="3" customFormat="false" ht="23.85" hidden="false" customHeight="false" outlineLevel="0" collapsed="false">
      <c r="A3" s="4" t="s">
        <v>22</v>
      </c>
      <c r="B3" s="4" t="s">
        <v>165</v>
      </c>
      <c r="C3" s="4" t="s">
        <v>166</v>
      </c>
      <c r="D3" s="4" t="s">
        <v>167</v>
      </c>
      <c r="E3" s="4" t="s">
        <v>168</v>
      </c>
      <c r="F3" s="4" t="s">
        <v>169</v>
      </c>
      <c r="G3" s="4" t="s">
        <v>170</v>
      </c>
      <c r="H3" s="4" t="s">
        <v>171</v>
      </c>
      <c r="I3" s="4" t="s">
        <v>172</v>
      </c>
      <c r="J3" s="4" t="s">
        <v>173</v>
      </c>
      <c r="K3" s="4" t="s">
        <v>73</v>
      </c>
      <c r="L3" s="4" t="s">
        <v>79</v>
      </c>
      <c r="M3" s="4" t="s">
        <v>82</v>
      </c>
      <c r="N3" s="4" t="s">
        <v>85</v>
      </c>
      <c r="O3" s="4" t="s">
        <v>88</v>
      </c>
      <c r="P3" s="4" t="s">
        <v>91</v>
      </c>
      <c r="Q3" s="4" t="s">
        <v>94</v>
      </c>
      <c r="R3" s="4" t="s">
        <v>97</v>
      </c>
      <c r="S3" s="4" t="s">
        <v>100</v>
      </c>
      <c r="T3" s="4" t="s">
        <v>103</v>
      </c>
      <c r="U3" s="4" t="s">
        <v>106</v>
      </c>
      <c r="V3" s="4" t="s">
        <v>109</v>
      </c>
      <c r="W3" s="4" t="s">
        <v>112</v>
      </c>
      <c r="X3" s="4" t="s">
        <v>115</v>
      </c>
      <c r="Y3" s="4" t="s">
        <v>118</v>
      </c>
      <c r="Z3" s="4" t="s">
        <v>121</v>
      </c>
      <c r="AA3" s="4" t="s">
        <v>124</v>
      </c>
      <c r="AB3" s="4" t="s">
        <v>127</v>
      </c>
      <c r="AC3" s="4" t="s">
        <v>129</v>
      </c>
      <c r="AD3" s="4" t="s">
        <v>132</v>
      </c>
      <c r="AE3" s="4" t="s">
        <v>135</v>
      </c>
      <c r="AF3" s="4" t="s">
        <v>138</v>
      </c>
      <c r="AG3" s="4" t="s">
        <v>141</v>
      </c>
      <c r="AH3" s="4" t="s">
        <v>144</v>
      </c>
      <c r="AI3" s="4" t="s">
        <v>147</v>
      </c>
      <c r="AJ3" s="4" t="s">
        <v>149</v>
      </c>
      <c r="AK3" s="4" t="s">
        <v>152</v>
      </c>
      <c r="AL3" s="4" t="s">
        <v>155</v>
      </c>
      <c r="AM3" s="4" t="s">
        <v>158</v>
      </c>
      <c r="AN3" s="4" t="s">
        <v>161</v>
      </c>
      <c r="AO3" s="4" t="s">
        <v>174</v>
      </c>
      <c r="AP3" s="4" t="s">
        <v>175</v>
      </c>
      <c r="AQ3" s="4" t="s">
        <v>176</v>
      </c>
    </row>
    <row r="4" customFormat="false" ht="23.85" hidden="false" customHeight="false" outlineLevel="0" collapsed="false">
      <c r="A4" s="13" t="s">
        <v>177</v>
      </c>
      <c r="B4" s="20" t="s">
        <v>178</v>
      </c>
      <c r="C4" s="20" t="s">
        <v>179</v>
      </c>
      <c r="D4" s="13" t="s">
        <v>180</v>
      </c>
      <c r="E4" s="20" t="s">
        <v>181</v>
      </c>
      <c r="F4" s="23" t="n">
        <v>180000</v>
      </c>
      <c r="G4" s="23" t="n">
        <v>60000</v>
      </c>
      <c r="H4" s="24" t="n">
        <f aca="false">F4+G4</f>
        <v>240000</v>
      </c>
      <c r="I4" s="25" t="n">
        <f aca="false">SUM(K4:AN4)</f>
        <v>7</v>
      </c>
      <c r="J4" s="24" t="n">
        <f aca="false">IF(I4=0,0,H4/I4)</f>
        <v>34285.7142857143</v>
      </c>
      <c r="K4" s="26" t="n">
        <v>1</v>
      </c>
      <c r="L4" s="26" t="n">
        <v>0</v>
      </c>
      <c r="M4" s="26" t="n">
        <v>0</v>
      </c>
      <c r="N4" s="26" t="n">
        <v>0</v>
      </c>
      <c r="O4" s="26" t="n">
        <v>0</v>
      </c>
      <c r="P4" s="26" t="n">
        <v>0</v>
      </c>
      <c r="Q4" s="26" t="n">
        <v>0</v>
      </c>
      <c r="R4" s="26" t="n">
        <v>1</v>
      </c>
      <c r="S4" s="26" t="n">
        <v>1</v>
      </c>
      <c r="T4" s="26" t="n">
        <v>1</v>
      </c>
      <c r="U4" s="26" t="n">
        <v>0</v>
      </c>
      <c r="V4" s="26" t="n">
        <v>0</v>
      </c>
      <c r="W4" s="26" t="n">
        <v>0</v>
      </c>
      <c r="X4" s="26" t="n">
        <v>0</v>
      </c>
      <c r="Y4" s="26" t="n">
        <v>0</v>
      </c>
      <c r="Z4" s="26" t="n">
        <v>0</v>
      </c>
      <c r="AA4" s="26" t="n">
        <v>0</v>
      </c>
      <c r="AB4" s="26" t="n">
        <v>0</v>
      </c>
      <c r="AC4" s="26" t="n">
        <v>0</v>
      </c>
      <c r="AD4" s="26" t="n">
        <v>1</v>
      </c>
      <c r="AE4" s="26" t="n">
        <v>0</v>
      </c>
      <c r="AF4" s="26" t="n">
        <v>0</v>
      </c>
      <c r="AG4" s="26" t="n">
        <v>1</v>
      </c>
      <c r="AH4" s="26" t="n">
        <v>0</v>
      </c>
      <c r="AI4" s="26" t="n">
        <v>0</v>
      </c>
      <c r="AJ4" s="26" t="n">
        <v>0</v>
      </c>
      <c r="AK4" s="26" t="n">
        <v>1</v>
      </c>
      <c r="AL4" s="26" t="n">
        <v>0</v>
      </c>
      <c r="AM4" s="26" t="n">
        <v>0</v>
      </c>
      <c r="AN4" s="26" t="n">
        <v>0</v>
      </c>
      <c r="AO4" s="13" t="s">
        <v>182</v>
      </c>
      <c r="AP4" s="13" t="s">
        <v>183</v>
      </c>
      <c r="AQ4" s="20" t="s">
        <v>184</v>
      </c>
    </row>
    <row r="5" customFormat="false" ht="23.85" hidden="false" customHeight="false" outlineLevel="0" collapsed="false">
      <c r="A5" s="13" t="s">
        <v>185</v>
      </c>
      <c r="B5" s="20" t="s">
        <v>186</v>
      </c>
      <c r="C5" s="20" t="s">
        <v>187</v>
      </c>
      <c r="D5" s="13" t="s">
        <v>188</v>
      </c>
      <c r="E5" s="20" t="s">
        <v>189</v>
      </c>
      <c r="F5" s="23" t="n">
        <v>250000</v>
      </c>
      <c r="G5" s="23" t="n">
        <v>80000</v>
      </c>
      <c r="H5" s="24" t="n">
        <f aca="false">F5+G5</f>
        <v>330000</v>
      </c>
      <c r="I5" s="25" t="n">
        <f aca="false">SUM(K5:AN5)</f>
        <v>9</v>
      </c>
      <c r="J5" s="24" t="n">
        <f aca="false">IF(I5=0,0,H5/I5)</f>
        <v>36666.6666666667</v>
      </c>
      <c r="K5" s="26" t="n">
        <v>1</v>
      </c>
      <c r="L5" s="26" t="n">
        <v>1</v>
      </c>
      <c r="M5" s="26" t="n">
        <v>1</v>
      </c>
      <c r="N5" s="26" t="n">
        <v>0</v>
      </c>
      <c r="O5" s="26" t="n">
        <v>1</v>
      </c>
      <c r="P5" s="26" t="n">
        <v>0</v>
      </c>
      <c r="Q5" s="26" t="n">
        <v>0</v>
      </c>
      <c r="R5" s="26" t="n">
        <v>0</v>
      </c>
      <c r="S5" s="26" t="n">
        <v>1</v>
      </c>
      <c r="T5" s="26" t="n">
        <v>1</v>
      </c>
      <c r="U5" s="26" t="n">
        <v>0</v>
      </c>
      <c r="V5" s="26" t="n">
        <v>0</v>
      </c>
      <c r="W5" s="26" t="n">
        <v>0</v>
      </c>
      <c r="X5" s="26" t="n">
        <v>0</v>
      </c>
      <c r="Y5" s="26" t="n">
        <v>0</v>
      </c>
      <c r="Z5" s="26" t="n">
        <v>0</v>
      </c>
      <c r="AA5" s="26" t="n">
        <v>0</v>
      </c>
      <c r="AB5" s="26" t="n">
        <v>0</v>
      </c>
      <c r="AC5" s="26" t="n">
        <v>0</v>
      </c>
      <c r="AD5" s="26" t="n">
        <v>1</v>
      </c>
      <c r="AE5" s="26" t="n">
        <v>0</v>
      </c>
      <c r="AF5" s="26" t="n">
        <v>0</v>
      </c>
      <c r="AG5" s="26" t="n">
        <v>1</v>
      </c>
      <c r="AH5" s="26" t="n">
        <v>0</v>
      </c>
      <c r="AI5" s="26" t="n">
        <v>0</v>
      </c>
      <c r="AJ5" s="26" t="n">
        <v>0</v>
      </c>
      <c r="AK5" s="26" t="n">
        <v>0</v>
      </c>
      <c r="AL5" s="26" t="n">
        <v>1</v>
      </c>
      <c r="AM5" s="26" t="n">
        <v>0</v>
      </c>
      <c r="AN5" s="26" t="n">
        <v>0</v>
      </c>
      <c r="AO5" s="13" t="s">
        <v>190</v>
      </c>
      <c r="AP5" s="13" t="s">
        <v>191</v>
      </c>
      <c r="AQ5" s="20" t="s">
        <v>192</v>
      </c>
    </row>
    <row r="6" customFormat="false" ht="23.85" hidden="false" customHeight="false" outlineLevel="0" collapsed="false">
      <c r="A6" s="13" t="s">
        <v>193</v>
      </c>
      <c r="B6" s="20" t="s">
        <v>194</v>
      </c>
      <c r="C6" s="20" t="s">
        <v>187</v>
      </c>
      <c r="D6" s="13" t="s">
        <v>180</v>
      </c>
      <c r="E6" s="20" t="s">
        <v>195</v>
      </c>
      <c r="F6" s="23" t="n">
        <v>200000</v>
      </c>
      <c r="G6" s="23" t="n">
        <v>420000</v>
      </c>
      <c r="H6" s="24" t="n">
        <f aca="false">F6+G6</f>
        <v>620000</v>
      </c>
      <c r="I6" s="25" t="n">
        <f aca="false">SUM(K6:AN6)</f>
        <v>17</v>
      </c>
      <c r="J6" s="24" t="n">
        <f aca="false">IF(I6=0,0,H6/I6)</f>
        <v>36470.5882352941</v>
      </c>
      <c r="K6" s="26" t="n">
        <v>1</v>
      </c>
      <c r="L6" s="26" t="n">
        <v>1</v>
      </c>
      <c r="M6" s="26" t="n">
        <v>1</v>
      </c>
      <c r="N6" s="26" t="n">
        <v>1</v>
      </c>
      <c r="O6" s="26" t="n">
        <v>1</v>
      </c>
      <c r="P6" s="26" t="n">
        <v>1</v>
      </c>
      <c r="Q6" s="26" t="n">
        <v>0</v>
      </c>
      <c r="R6" s="26" t="n">
        <v>1</v>
      </c>
      <c r="S6" s="26" t="n">
        <v>1</v>
      </c>
      <c r="T6" s="26" t="n">
        <v>1</v>
      </c>
      <c r="U6" s="26" t="n">
        <v>1</v>
      </c>
      <c r="V6" s="26" t="n">
        <v>1</v>
      </c>
      <c r="W6" s="26" t="n">
        <v>0</v>
      </c>
      <c r="X6" s="26" t="n">
        <v>0</v>
      </c>
      <c r="Y6" s="26" t="n">
        <v>0</v>
      </c>
      <c r="Z6" s="26" t="n">
        <v>0</v>
      </c>
      <c r="AA6" s="26" t="n">
        <v>0</v>
      </c>
      <c r="AB6" s="26" t="n">
        <v>1</v>
      </c>
      <c r="AC6" s="26" t="n">
        <v>1</v>
      </c>
      <c r="AD6" s="26" t="n">
        <v>1</v>
      </c>
      <c r="AE6" s="26" t="n">
        <v>0</v>
      </c>
      <c r="AF6" s="26" t="n">
        <v>0</v>
      </c>
      <c r="AG6" s="26" t="n">
        <v>1</v>
      </c>
      <c r="AH6" s="26" t="n">
        <v>1</v>
      </c>
      <c r="AI6" s="26" t="n">
        <v>0</v>
      </c>
      <c r="AJ6" s="26" t="n">
        <v>0</v>
      </c>
      <c r="AK6" s="26" t="n">
        <v>0</v>
      </c>
      <c r="AL6" s="26" t="n">
        <v>1</v>
      </c>
      <c r="AM6" s="26" t="n">
        <v>0</v>
      </c>
      <c r="AN6" s="26" t="n">
        <v>0</v>
      </c>
      <c r="AO6" s="13" t="s">
        <v>182</v>
      </c>
      <c r="AP6" s="13" t="s">
        <v>183</v>
      </c>
      <c r="AQ6" s="20" t="s">
        <v>196</v>
      </c>
    </row>
    <row r="7" customFormat="false" ht="23.85" hidden="false" customHeight="false" outlineLevel="0" collapsed="false">
      <c r="A7" s="13" t="s">
        <v>197</v>
      </c>
      <c r="B7" s="20" t="s">
        <v>198</v>
      </c>
      <c r="C7" s="20" t="s">
        <v>199</v>
      </c>
      <c r="D7" s="13" t="s">
        <v>180</v>
      </c>
      <c r="E7" s="20" t="s">
        <v>200</v>
      </c>
      <c r="F7" s="23" t="n">
        <v>300000</v>
      </c>
      <c r="G7" s="23" t="n">
        <v>90000</v>
      </c>
      <c r="H7" s="24" t="n">
        <f aca="false">F7+G7</f>
        <v>390000</v>
      </c>
      <c r="I7" s="25" t="n">
        <f aca="false">SUM(K7:AN7)</f>
        <v>4</v>
      </c>
      <c r="J7" s="24" t="n">
        <f aca="false">IF(I7=0,0,H7/I7)</f>
        <v>97500</v>
      </c>
      <c r="K7" s="26" t="n">
        <v>0</v>
      </c>
      <c r="L7" s="26" t="n">
        <v>1</v>
      </c>
      <c r="M7" s="26" t="n">
        <v>1</v>
      </c>
      <c r="N7" s="26" t="n">
        <v>0</v>
      </c>
      <c r="O7" s="26" t="n">
        <v>0</v>
      </c>
      <c r="P7" s="26" t="n">
        <v>0</v>
      </c>
      <c r="Q7" s="26" t="n">
        <v>0</v>
      </c>
      <c r="R7" s="26" t="n">
        <v>0</v>
      </c>
      <c r="S7" s="26" t="n">
        <v>0</v>
      </c>
      <c r="T7" s="26" t="n">
        <v>1</v>
      </c>
      <c r="U7" s="26" t="n">
        <v>0</v>
      </c>
      <c r="V7" s="26" t="n">
        <v>0</v>
      </c>
      <c r="W7" s="26" t="n">
        <v>0</v>
      </c>
      <c r="X7" s="26" t="n">
        <v>0</v>
      </c>
      <c r="Y7" s="26" t="n">
        <v>0</v>
      </c>
      <c r="Z7" s="26" t="n">
        <v>0</v>
      </c>
      <c r="AA7" s="26" t="n">
        <v>0</v>
      </c>
      <c r="AB7" s="26" t="n">
        <v>0</v>
      </c>
      <c r="AC7" s="26" t="n">
        <v>0</v>
      </c>
      <c r="AD7" s="26" t="n">
        <v>0</v>
      </c>
      <c r="AE7" s="26" t="n">
        <v>0</v>
      </c>
      <c r="AF7" s="26" t="n">
        <v>0</v>
      </c>
      <c r="AG7" s="26" t="n">
        <v>0</v>
      </c>
      <c r="AH7" s="26" t="n">
        <v>0</v>
      </c>
      <c r="AI7" s="26" t="n">
        <v>0</v>
      </c>
      <c r="AJ7" s="26" t="n">
        <v>0</v>
      </c>
      <c r="AK7" s="26" t="n">
        <v>0</v>
      </c>
      <c r="AL7" s="26" t="n">
        <v>1</v>
      </c>
      <c r="AM7" s="26" t="n">
        <v>0</v>
      </c>
      <c r="AN7" s="26" t="n">
        <v>0</v>
      </c>
      <c r="AO7" s="13" t="s">
        <v>182</v>
      </c>
      <c r="AP7" s="13" t="s">
        <v>201</v>
      </c>
      <c r="AQ7" s="20" t="s">
        <v>202</v>
      </c>
    </row>
    <row r="8" customFormat="false" ht="23.85" hidden="false" customHeight="false" outlineLevel="0" collapsed="false">
      <c r="A8" s="13" t="s">
        <v>203</v>
      </c>
      <c r="B8" s="20" t="s">
        <v>204</v>
      </c>
      <c r="C8" s="20" t="s">
        <v>179</v>
      </c>
      <c r="D8" s="13" t="s">
        <v>188</v>
      </c>
      <c r="E8" s="20" t="s">
        <v>181</v>
      </c>
      <c r="F8" s="23" t="n">
        <v>150000</v>
      </c>
      <c r="G8" s="23" t="n">
        <v>216000</v>
      </c>
      <c r="H8" s="24" t="n">
        <f aca="false">F8+G8</f>
        <v>366000</v>
      </c>
      <c r="I8" s="25" t="n">
        <f aca="false">SUM(K8:AN8)</f>
        <v>5</v>
      </c>
      <c r="J8" s="24" t="n">
        <f aca="false">IF(I8=0,0,H8/I8)</f>
        <v>73200</v>
      </c>
      <c r="K8" s="26" t="n">
        <v>0</v>
      </c>
      <c r="L8" s="26" t="n">
        <v>1</v>
      </c>
      <c r="M8" s="26" t="n">
        <v>0</v>
      </c>
      <c r="N8" s="26" t="n">
        <v>0</v>
      </c>
      <c r="O8" s="26" t="n">
        <v>0</v>
      </c>
      <c r="P8" s="26" t="n">
        <v>1</v>
      </c>
      <c r="Q8" s="26" t="n">
        <v>1</v>
      </c>
      <c r="R8" s="26" t="n">
        <v>0</v>
      </c>
      <c r="S8" s="26" t="n">
        <v>0</v>
      </c>
      <c r="T8" s="26" t="n">
        <v>0</v>
      </c>
      <c r="U8" s="26" t="n">
        <v>0</v>
      </c>
      <c r="V8" s="26" t="n">
        <v>0</v>
      </c>
      <c r="W8" s="26" t="n">
        <v>0</v>
      </c>
      <c r="X8" s="26" t="n">
        <v>0</v>
      </c>
      <c r="Y8" s="26" t="n">
        <v>0</v>
      </c>
      <c r="Z8" s="26" t="n">
        <v>0</v>
      </c>
      <c r="AA8" s="26" t="n">
        <v>0</v>
      </c>
      <c r="AB8" s="26" t="n">
        <v>1</v>
      </c>
      <c r="AC8" s="26" t="n">
        <v>0</v>
      </c>
      <c r="AD8" s="26" t="n">
        <v>0</v>
      </c>
      <c r="AE8" s="26" t="n">
        <v>0</v>
      </c>
      <c r="AF8" s="26" t="n">
        <v>0</v>
      </c>
      <c r="AG8" s="26" t="n">
        <v>1</v>
      </c>
      <c r="AH8" s="26" t="n">
        <v>0</v>
      </c>
      <c r="AI8" s="26" t="n">
        <v>0</v>
      </c>
      <c r="AJ8" s="26" t="n">
        <v>0</v>
      </c>
      <c r="AK8" s="26" t="n">
        <v>0</v>
      </c>
      <c r="AL8" s="26" t="n">
        <v>0</v>
      </c>
      <c r="AM8" s="26" t="n">
        <v>0</v>
      </c>
      <c r="AN8" s="26" t="n">
        <v>0</v>
      </c>
      <c r="AO8" s="13" t="s">
        <v>205</v>
      </c>
      <c r="AP8" s="13" t="s">
        <v>201</v>
      </c>
      <c r="AQ8" s="20" t="s">
        <v>206</v>
      </c>
    </row>
    <row r="9" customFormat="false" ht="23.85" hidden="false" customHeight="false" outlineLevel="0" collapsed="false">
      <c r="A9" s="13" t="s">
        <v>207</v>
      </c>
      <c r="B9" s="20" t="s">
        <v>208</v>
      </c>
      <c r="C9" s="20" t="s">
        <v>199</v>
      </c>
      <c r="D9" s="13" t="s">
        <v>209</v>
      </c>
      <c r="E9" s="20" t="s">
        <v>210</v>
      </c>
      <c r="F9" s="23" t="n">
        <v>450000</v>
      </c>
      <c r="G9" s="23" t="n">
        <v>70000</v>
      </c>
      <c r="H9" s="24" t="n">
        <f aca="false">F9+G9</f>
        <v>520000</v>
      </c>
      <c r="I9" s="25" t="n">
        <f aca="false">SUM(K9:AN9)</f>
        <v>7</v>
      </c>
      <c r="J9" s="24" t="n">
        <f aca="false">IF(I9=0,0,H9/I9)</f>
        <v>74285.7142857143</v>
      </c>
      <c r="K9" s="26" t="n">
        <v>0</v>
      </c>
      <c r="L9" s="26" t="n">
        <v>1</v>
      </c>
      <c r="M9" s="26" t="n">
        <v>1</v>
      </c>
      <c r="N9" s="26" t="n">
        <v>0</v>
      </c>
      <c r="O9" s="26" t="n">
        <v>0</v>
      </c>
      <c r="P9" s="26" t="n">
        <v>1</v>
      </c>
      <c r="Q9" s="26" t="n">
        <v>1</v>
      </c>
      <c r="R9" s="26" t="n">
        <v>0</v>
      </c>
      <c r="S9" s="26" t="n">
        <v>0</v>
      </c>
      <c r="T9" s="26" t="n">
        <v>0</v>
      </c>
      <c r="U9" s="26" t="n">
        <v>0</v>
      </c>
      <c r="V9" s="26" t="n">
        <v>1</v>
      </c>
      <c r="W9" s="26" t="n">
        <v>0</v>
      </c>
      <c r="X9" s="26" t="n">
        <v>0</v>
      </c>
      <c r="Y9" s="26" t="n">
        <v>0</v>
      </c>
      <c r="Z9" s="26" t="n">
        <v>0</v>
      </c>
      <c r="AA9" s="26" t="n">
        <v>0</v>
      </c>
      <c r="AB9" s="26" t="n">
        <v>0</v>
      </c>
      <c r="AC9" s="26" t="n">
        <v>0</v>
      </c>
      <c r="AD9" s="26" t="n">
        <v>0</v>
      </c>
      <c r="AE9" s="26" t="n">
        <v>0</v>
      </c>
      <c r="AF9" s="26" t="n">
        <v>0</v>
      </c>
      <c r="AG9" s="26" t="n">
        <v>0</v>
      </c>
      <c r="AH9" s="26" t="n">
        <v>1</v>
      </c>
      <c r="AI9" s="26" t="n">
        <v>0</v>
      </c>
      <c r="AJ9" s="26" t="n">
        <v>0</v>
      </c>
      <c r="AK9" s="26" t="n">
        <v>0</v>
      </c>
      <c r="AL9" s="26" t="n">
        <v>0</v>
      </c>
      <c r="AM9" s="26" t="n">
        <v>1</v>
      </c>
      <c r="AN9" s="26" t="n">
        <v>0</v>
      </c>
      <c r="AO9" s="13" t="s">
        <v>183</v>
      </c>
      <c r="AP9" s="13" t="s">
        <v>211</v>
      </c>
      <c r="AQ9" s="20" t="s">
        <v>212</v>
      </c>
    </row>
    <row r="10" customFormat="false" ht="23.85" hidden="false" customHeight="false" outlineLevel="0" collapsed="false">
      <c r="A10" s="13" t="s">
        <v>213</v>
      </c>
      <c r="B10" s="20" t="s">
        <v>214</v>
      </c>
      <c r="C10" s="20" t="s">
        <v>215</v>
      </c>
      <c r="D10" s="13" t="s">
        <v>188</v>
      </c>
      <c r="E10" s="20" t="s">
        <v>216</v>
      </c>
      <c r="F10" s="23" t="n">
        <v>180000</v>
      </c>
      <c r="G10" s="23" t="n">
        <v>90000</v>
      </c>
      <c r="H10" s="24" t="n">
        <f aca="false">F10+G10</f>
        <v>270000</v>
      </c>
      <c r="I10" s="25" t="n">
        <f aca="false">SUM(K10:AN10)</f>
        <v>2</v>
      </c>
      <c r="J10" s="24" t="n">
        <f aca="false">IF(I10=0,0,H10/I10)</f>
        <v>135000</v>
      </c>
      <c r="K10" s="26" t="n">
        <v>0</v>
      </c>
      <c r="L10" s="26" t="n">
        <v>0</v>
      </c>
      <c r="M10" s="26" t="n">
        <v>0</v>
      </c>
      <c r="N10" s="26" t="n">
        <v>0</v>
      </c>
      <c r="O10" s="26" t="n">
        <v>0</v>
      </c>
      <c r="P10" s="26" t="n">
        <v>0</v>
      </c>
      <c r="Q10" s="26" t="n">
        <v>1</v>
      </c>
      <c r="R10" s="26" t="n">
        <v>0</v>
      </c>
      <c r="S10" s="26" t="n">
        <v>0</v>
      </c>
      <c r="T10" s="26" t="n">
        <v>0</v>
      </c>
      <c r="U10" s="26" t="n">
        <v>0</v>
      </c>
      <c r="V10" s="26" t="n">
        <v>0</v>
      </c>
      <c r="W10" s="26" t="n">
        <v>0</v>
      </c>
      <c r="X10" s="26" t="n">
        <v>0</v>
      </c>
      <c r="Y10" s="26" t="n">
        <v>0</v>
      </c>
      <c r="Z10" s="26" t="n">
        <v>0</v>
      </c>
      <c r="AA10" s="26" t="n">
        <v>0</v>
      </c>
      <c r="AB10" s="26" t="n">
        <v>0</v>
      </c>
      <c r="AC10" s="26" t="n">
        <v>0</v>
      </c>
      <c r="AD10" s="26" t="n">
        <v>0</v>
      </c>
      <c r="AE10" s="26" t="n">
        <v>0</v>
      </c>
      <c r="AF10" s="26" t="n">
        <v>0</v>
      </c>
      <c r="AG10" s="26" t="n">
        <v>0</v>
      </c>
      <c r="AH10" s="26" t="n">
        <v>1</v>
      </c>
      <c r="AI10" s="26" t="n">
        <v>0</v>
      </c>
      <c r="AJ10" s="26" t="n">
        <v>0</v>
      </c>
      <c r="AK10" s="26" t="n">
        <v>0</v>
      </c>
      <c r="AL10" s="26" t="n">
        <v>0</v>
      </c>
      <c r="AM10" s="26" t="n">
        <v>0</v>
      </c>
      <c r="AN10" s="26" t="n">
        <v>0</v>
      </c>
      <c r="AO10" s="13" t="s">
        <v>217</v>
      </c>
      <c r="AP10" s="13" t="s">
        <v>191</v>
      </c>
      <c r="AQ10" s="20" t="s">
        <v>218</v>
      </c>
    </row>
    <row r="11" customFormat="false" ht="23.85" hidden="false" customHeight="false" outlineLevel="0" collapsed="false">
      <c r="A11" s="13" t="s">
        <v>219</v>
      </c>
      <c r="B11" s="20" t="s">
        <v>220</v>
      </c>
      <c r="C11" s="20" t="s">
        <v>221</v>
      </c>
      <c r="D11" s="13" t="s">
        <v>180</v>
      </c>
      <c r="E11" s="20" t="s">
        <v>222</v>
      </c>
      <c r="F11" s="23" t="n">
        <v>120000</v>
      </c>
      <c r="G11" s="23" t="n">
        <v>60000</v>
      </c>
      <c r="H11" s="24" t="n">
        <f aca="false">F11+G11</f>
        <v>180000</v>
      </c>
      <c r="I11" s="25" t="n">
        <f aca="false">SUM(K11:AN11)</f>
        <v>3</v>
      </c>
      <c r="J11" s="24" t="n">
        <f aca="false">IF(I11=0,0,H11/I11)</f>
        <v>60000</v>
      </c>
      <c r="K11" s="26" t="n">
        <v>0</v>
      </c>
      <c r="L11" s="26" t="n">
        <v>0</v>
      </c>
      <c r="M11" s="26" t="n">
        <v>0</v>
      </c>
      <c r="N11" s="26" t="n">
        <v>1</v>
      </c>
      <c r="O11" s="26" t="n">
        <v>0</v>
      </c>
      <c r="P11" s="26" t="n">
        <v>0</v>
      </c>
      <c r="Q11" s="26" t="n">
        <v>0</v>
      </c>
      <c r="R11" s="26" t="n">
        <v>0</v>
      </c>
      <c r="S11" s="26" t="n">
        <v>0</v>
      </c>
      <c r="T11" s="26" t="n">
        <v>0</v>
      </c>
      <c r="U11" s="26" t="n">
        <v>1</v>
      </c>
      <c r="V11" s="26" t="n">
        <v>0</v>
      </c>
      <c r="W11" s="26" t="n">
        <v>0</v>
      </c>
      <c r="X11" s="26" t="n">
        <v>0</v>
      </c>
      <c r="Y11" s="26" t="n">
        <v>0</v>
      </c>
      <c r="Z11" s="26" t="n">
        <v>0</v>
      </c>
      <c r="AA11" s="26" t="n">
        <v>0</v>
      </c>
      <c r="AB11" s="26" t="n">
        <v>0</v>
      </c>
      <c r="AC11" s="26" t="n">
        <v>0</v>
      </c>
      <c r="AD11" s="26" t="n">
        <v>1</v>
      </c>
      <c r="AE11" s="26" t="n">
        <v>0</v>
      </c>
      <c r="AF11" s="26" t="n">
        <v>0</v>
      </c>
      <c r="AG11" s="26" t="n">
        <v>0</v>
      </c>
      <c r="AH11" s="26" t="n">
        <v>0</v>
      </c>
      <c r="AI11" s="26" t="n">
        <v>0</v>
      </c>
      <c r="AJ11" s="26" t="n">
        <v>0</v>
      </c>
      <c r="AK11" s="26" t="n">
        <v>0</v>
      </c>
      <c r="AL11" s="26" t="n">
        <v>0</v>
      </c>
      <c r="AM11" s="26" t="n">
        <v>0</v>
      </c>
      <c r="AN11" s="26" t="n">
        <v>0</v>
      </c>
      <c r="AO11" s="13" t="s">
        <v>182</v>
      </c>
      <c r="AP11" s="13" t="s">
        <v>183</v>
      </c>
      <c r="AQ11" s="20" t="s">
        <v>223</v>
      </c>
    </row>
    <row r="12" customFormat="false" ht="23.85" hidden="false" customHeight="false" outlineLevel="0" collapsed="false">
      <c r="A12" s="13" t="s">
        <v>224</v>
      </c>
      <c r="B12" s="20" t="s">
        <v>225</v>
      </c>
      <c r="C12" s="20" t="s">
        <v>226</v>
      </c>
      <c r="D12" s="13" t="s">
        <v>188</v>
      </c>
      <c r="E12" s="20" t="s">
        <v>227</v>
      </c>
      <c r="F12" s="23" t="n">
        <v>200000</v>
      </c>
      <c r="G12" s="23" t="n">
        <v>90000</v>
      </c>
      <c r="H12" s="24" t="n">
        <f aca="false">F12+G12</f>
        <v>290000</v>
      </c>
      <c r="I12" s="25" t="n">
        <f aca="false">SUM(K12:AN12)</f>
        <v>5</v>
      </c>
      <c r="J12" s="24" t="n">
        <f aca="false">IF(I12=0,0,H12/I12)</f>
        <v>58000</v>
      </c>
      <c r="K12" s="26" t="n">
        <v>0</v>
      </c>
      <c r="L12" s="26" t="n">
        <v>0</v>
      </c>
      <c r="M12" s="26" t="n">
        <v>0</v>
      </c>
      <c r="N12" s="26" t="n">
        <v>1</v>
      </c>
      <c r="O12" s="26" t="n">
        <v>1</v>
      </c>
      <c r="P12" s="26" t="n">
        <v>0</v>
      </c>
      <c r="Q12" s="26" t="n">
        <v>0</v>
      </c>
      <c r="R12" s="26" t="n">
        <v>0</v>
      </c>
      <c r="S12" s="26" t="n">
        <v>0</v>
      </c>
      <c r="T12" s="26" t="n">
        <v>1</v>
      </c>
      <c r="U12" s="26" t="n">
        <v>0</v>
      </c>
      <c r="V12" s="26" t="n">
        <v>0</v>
      </c>
      <c r="W12" s="26" t="n">
        <v>0</v>
      </c>
      <c r="X12" s="26" t="n">
        <v>0</v>
      </c>
      <c r="Y12" s="26" t="n">
        <v>0</v>
      </c>
      <c r="Z12" s="26" t="n">
        <v>0</v>
      </c>
      <c r="AA12" s="26" t="n">
        <v>0</v>
      </c>
      <c r="AB12" s="26" t="n">
        <v>0</v>
      </c>
      <c r="AC12" s="26" t="n">
        <v>0</v>
      </c>
      <c r="AD12" s="26" t="n">
        <v>0</v>
      </c>
      <c r="AE12" s="26" t="n">
        <v>1</v>
      </c>
      <c r="AF12" s="26" t="n">
        <v>0</v>
      </c>
      <c r="AG12" s="26" t="n">
        <v>0</v>
      </c>
      <c r="AH12" s="26" t="n">
        <v>0</v>
      </c>
      <c r="AI12" s="26" t="n">
        <v>0</v>
      </c>
      <c r="AJ12" s="26" t="n">
        <v>1</v>
      </c>
      <c r="AK12" s="26" t="n">
        <v>0</v>
      </c>
      <c r="AL12" s="26" t="n">
        <v>0</v>
      </c>
      <c r="AM12" s="26" t="n">
        <v>0</v>
      </c>
      <c r="AN12" s="26" t="n">
        <v>0</v>
      </c>
      <c r="AO12" s="13" t="s">
        <v>217</v>
      </c>
      <c r="AP12" s="13" t="s">
        <v>191</v>
      </c>
      <c r="AQ12" s="20" t="s">
        <v>228</v>
      </c>
    </row>
    <row r="13" customFormat="false" ht="23.85" hidden="false" customHeight="false" outlineLevel="0" collapsed="false">
      <c r="A13" s="13" t="s">
        <v>229</v>
      </c>
      <c r="B13" s="20" t="s">
        <v>230</v>
      </c>
      <c r="C13" s="20" t="s">
        <v>231</v>
      </c>
      <c r="D13" s="13" t="s">
        <v>188</v>
      </c>
      <c r="E13" s="20" t="s">
        <v>232</v>
      </c>
      <c r="F13" s="23" t="n">
        <v>90000</v>
      </c>
      <c r="G13" s="23" t="n">
        <v>70000</v>
      </c>
      <c r="H13" s="24" t="n">
        <f aca="false">F13+G13</f>
        <v>160000</v>
      </c>
      <c r="I13" s="25" t="n">
        <f aca="false">SUM(K13:AN13)</f>
        <v>2</v>
      </c>
      <c r="J13" s="24" t="n">
        <f aca="false">IF(I13=0,0,H13/I13)</f>
        <v>80000</v>
      </c>
      <c r="K13" s="26" t="n">
        <v>0</v>
      </c>
      <c r="L13" s="26" t="n">
        <v>0</v>
      </c>
      <c r="M13" s="26" t="n">
        <v>0</v>
      </c>
      <c r="N13" s="26" t="n">
        <v>0</v>
      </c>
      <c r="O13" s="26" t="n">
        <v>0</v>
      </c>
      <c r="P13" s="26" t="n">
        <v>0</v>
      </c>
      <c r="Q13" s="26" t="n">
        <v>0</v>
      </c>
      <c r="R13" s="26" t="n">
        <v>0</v>
      </c>
      <c r="S13" s="26" t="n">
        <v>1</v>
      </c>
      <c r="T13" s="26" t="n">
        <v>0</v>
      </c>
      <c r="U13" s="26" t="n">
        <v>0</v>
      </c>
      <c r="V13" s="26" t="n">
        <v>0</v>
      </c>
      <c r="W13" s="26" t="n">
        <v>0</v>
      </c>
      <c r="X13" s="26" t="n">
        <v>0</v>
      </c>
      <c r="Y13" s="26" t="n">
        <v>0</v>
      </c>
      <c r="Z13" s="26" t="n">
        <v>0</v>
      </c>
      <c r="AA13" s="26" t="n">
        <v>0</v>
      </c>
      <c r="AB13" s="26" t="n">
        <v>0</v>
      </c>
      <c r="AC13" s="26" t="n">
        <v>1</v>
      </c>
      <c r="AD13" s="26" t="n">
        <v>0</v>
      </c>
      <c r="AE13" s="26" t="n">
        <v>0</v>
      </c>
      <c r="AF13" s="26" t="n">
        <v>0</v>
      </c>
      <c r="AG13" s="26" t="n">
        <v>0</v>
      </c>
      <c r="AH13" s="26" t="n">
        <v>0</v>
      </c>
      <c r="AI13" s="26" t="n">
        <v>0</v>
      </c>
      <c r="AJ13" s="26" t="n">
        <v>0</v>
      </c>
      <c r="AK13" s="26" t="n">
        <v>0</v>
      </c>
      <c r="AL13" s="26" t="n">
        <v>0</v>
      </c>
      <c r="AM13" s="26" t="n">
        <v>0</v>
      </c>
      <c r="AN13" s="26" t="n">
        <v>0</v>
      </c>
      <c r="AO13" s="13" t="s">
        <v>190</v>
      </c>
      <c r="AP13" s="13" t="s">
        <v>191</v>
      </c>
      <c r="AQ13" s="20" t="s">
        <v>233</v>
      </c>
    </row>
    <row r="14" customFormat="false" ht="23.85" hidden="false" customHeight="false" outlineLevel="0" collapsed="false">
      <c r="A14" s="13" t="s">
        <v>234</v>
      </c>
      <c r="B14" s="20" t="s">
        <v>235</v>
      </c>
      <c r="C14" s="20" t="s">
        <v>236</v>
      </c>
      <c r="D14" s="13" t="s">
        <v>180</v>
      </c>
      <c r="E14" s="20" t="s">
        <v>237</v>
      </c>
      <c r="F14" s="23" t="n">
        <v>120000</v>
      </c>
      <c r="G14" s="23" t="n">
        <v>80000</v>
      </c>
      <c r="H14" s="24" t="n">
        <f aca="false">F14+G14</f>
        <v>200000</v>
      </c>
      <c r="I14" s="25" t="n">
        <f aca="false">SUM(K14:AN14)</f>
        <v>9</v>
      </c>
      <c r="J14" s="24" t="n">
        <f aca="false">IF(I14=0,0,H14/I14)</f>
        <v>22222.2222222222</v>
      </c>
      <c r="K14" s="26" t="n">
        <v>0</v>
      </c>
      <c r="L14" s="26" t="n">
        <v>1</v>
      </c>
      <c r="M14" s="26" t="n">
        <v>1</v>
      </c>
      <c r="N14" s="26" t="n">
        <v>0</v>
      </c>
      <c r="O14" s="26" t="n">
        <v>0</v>
      </c>
      <c r="P14" s="26" t="n">
        <v>0</v>
      </c>
      <c r="Q14" s="26" t="n">
        <v>0</v>
      </c>
      <c r="R14" s="26" t="n">
        <v>1</v>
      </c>
      <c r="S14" s="26" t="n">
        <v>1</v>
      </c>
      <c r="T14" s="26" t="n">
        <v>1</v>
      </c>
      <c r="U14" s="26" t="n">
        <v>0</v>
      </c>
      <c r="V14" s="26" t="n">
        <v>0</v>
      </c>
      <c r="W14" s="26" t="n">
        <v>1</v>
      </c>
      <c r="X14" s="26" t="n">
        <v>0</v>
      </c>
      <c r="Y14" s="26" t="n">
        <v>0</v>
      </c>
      <c r="Z14" s="26" t="n">
        <v>1</v>
      </c>
      <c r="AA14" s="26" t="n">
        <v>0</v>
      </c>
      <c r="AB14" s="26" t="n">
        <v>0</v>
      </c>
      <c r="AC14" s="26" t="n">
        <v>1</v>
      </c>
      <c r="AD14" s="26" t="n">
        <v>0</v>
      </c>
      <c r="AE14" s="26" t="n">
        <v>0</v>
      </c>
      <c r="AF14" s="26" t="n">
        <v>0</v>
      </c>
      <c r="AG14" s="26" t="n">
        <v>0</v>
      </c>
      <c r="AH14" s="26" t="n">
        <v>0</v>
      </c>
      <c r="AI14" s="26" t="n">
        <v>0</v>
      </c>
      <c r="AJ14" s="26" t="n">
        <v>0</v>
      </c>
      <c r="AK14" s="26" t="n">
        <v>0</v>
      </c>
      <c r="AL14" s="26" t="n">
        <v>1</v>
      </c>
      <c r="AM14" s="26" t="n">
        <v>0</v>
      </c>
      <c r="AN14" s="26" t="n">
        <v>0</v>
      </c>
      <c r="AO14" s="13" t="s">
        <v>182</v>
      </c>
      <c r="AP14" s="13" t="s">
        <v>183</v>
      </c>
      <c r="AQ14" s="20" t="s">
        <v>238</v>
      </c>
    </row>
    <row r="15" customFormat="false" ht="23.85" hidden="false" customHeight="false" outlineLevel="0" collapsed="false">
      <c r="A15" s="13" t="s">
        <v>239</v>
      </c>
      <c r="B15" s="20" t="s">
        <v>240</v>
      </c>
      <c r="C15" s="20" t="s">
        <v>241</v>
      </c>
      <c r="D15" s="13" t="s">
        <v>180</v>
      </c>
      <c r="E15" s="20" t="s">
        <v>232</v>
      </c>
      <c r="F15" s="23" t="n">
        <v>70000</v>
      </c>
      <c r="G15" s="23" t="n">
        <v>90000</v>
      </c>
      <c r="H15" s="24" t="n">
        <f aca="false">F15+G15</f>
        <v>160000</v>
      </c>
      <c r="I15" s="25" t="n">
        <f aca="false">SUM(K15:AN15)</f>
        <v>10</v>
      </c>
      <c r="J15" s="24" t="n">
        <f aca="false">IF(I15=0,0,H15/I15)</f>
        <v>16000</v>
      </c>
      <c r="K15" s="26" t="n">
        <v>1</v>
      </c>
      <c r="L15" s="26" t="n">
        <v>1</v>
      </c>
      <c r="M15" s="26" t="n">
        <v>0</v>
      </c>
      <c r="N15" s="26" t="n">
        <v>0</v>
      </c>
      <c r="O15" s="26" t="n">
        <v>1</v>
      </c>
      <c r="P15" s="26" t="n">
        <v>0</v>
      </c>
      <c r="Q15" s="26" t="n">
        <v>0</v>
      </c>
      <c r="R15" s="26" t="n">
        <v>1</v>
      </c>
      <c r="S15" s="26" t="n">
        <v>0</v>
      </c>
      <c r="T15" s="26" t="n">
        <v>0</v>
      </c>
      <c r="U15" s="26" t="n">
        <v>0</v>
      </c>
      <c r="V15" s="26" t="n">
        <v>0</v>
      </c>
      <c r="W15" s="26" t="n">
        <v>0</v>
      </c>
      <c r="X15" s="26" t="n">
        <v>1</v>
      </c>
      <c r="Y15" s="26" t="n">
        <v>0</v>
      </c>
      <c r="Z15" s="26" t="n">
        <v>0</v>
      </c>
      <c r="AA15" s="26" t="n">
        <v>0</v>
      </c>
      <c r="AB15" s="26" t="n">
        <v>0</v>
      </c>
      <c r="AC15" s="26" t="n">
        <v>0</v>
      </c>
      <c r="AD15" s="26" t="n">
        <v>0</v>
      </c>
      <c r="AE15" s="26" t="n">
        <v>1</v>
      </c>
      <c r="AF15" s="26" t="n">
        <v>0</v>
      </c>
      <c r="AG15" s="26" t="n">
        <v>0</v>
      </c>
      <c r="AH15" s="26" t="n">
        <v>1</v>
      </c>
      <c r="AI15" s="26" t="n">
        <v>0</v>
      </c>
      <c r="AJ15" s="26" t="n">
        <v>1</v>
      </c>
      <c r="AK15" s="26" t="n">
        <v>1</v>
      </c>
      <c r="AL15" s="26" t="n">
        <v>0</v>
      </c>
      <c r="AM15" s="26" t="n">
        <v>0</v>
      </c>
      <c r="AN15" s="26" t="n">
        <v>1</v>
      </c>
      <c r="AO15" s="13" t="s">
        <v>182</v>
      </c>
      <c r="AP15" s="13" t="s">
        <v>217</v>
      </c>
      <c r="AQ15" s="20" t="s">
        <v>242</v>
      </c>
    </row>
    <row r="16" customFormat="false" ht="23.85" hidden="false" customHeight="false" outlineLevel="0" collapsed="false">
      <c r="A16" s="13" t="s">
        <v>243</v>
      </c>
      <c r="B16" s="20" t="s">
        <v>244</v>
      </c>
      <c r="C16" s="20" t="s">
        <v>245</v>
      </c>
      <c r="D16" s="13" t="s">
        <v>209</v>
      </c>
      <c r="E16" s="20" t="s">
        <v>246</v>
      </c>
      <c r="F16" s="23" t="n">
        <v>100000</v>
      </c>
      <c r="G16" s="23" t="n">
        <v>40000</v>
      </c>
      <c r="H16" s="24" t="n">
        <f aca="false">F16+G16</f>
        <v>140000</v>
      </c>
      <c r="I16" s="25" t="n">
        <f aca="false">SUM(K16:AN16)</f>
        <v>2</v>
      </c>
      <c r="J16" s="24" t="n">
        <f aca="false">IF(I16=0,0,H16/I16)</f>
        <v>70000</v>
      </c>
      <c r="K16" s="26" t="n">
        <v>0</v>
      </c>
      <c r="L16" s="26" t="n">
        <v>0</v>
      </c>
      <c r="M16" s="26" t="n">
        <v>0</v>
      </c>
      <c r="N16" s="26" t="n">
        <v>0</v>
      </c>
      <c r="O16" s="26" t="n">
        <v>0</v>
      </c>
      <c r="P16" s="26" t="n">
        <v>0</v>
      </c>
      <c r="Q16" s="26" t="n">
        <v>0</v>
      </c>
      <c r="R16" s="26" t="n">
        <v>0</v>
      </c>
      <c r="S16" s="26" t="n">
        <v>0</v>
      </c>
      <c r="T16" s="26" t="n">
        <v>1</v>
      </c>
      <c r="U16" s="26" t="n">
        <v>0</v>
      </c>
      <c r="V16" s="26" t="n">
        <v>0</v>
      </c>
      <c r="W16" s="26" t="n">
        <v>0</v>
      </c>
      <c r="X16" s="26" t="n">
        <v>0</v>
      </c>
      <c r="Y16" s="26" t="n">
        <v>0</v>
      </c>
      <c r="Z16" s="26" t="n">
        <v>0</v>
      </c>
      <c r="AA16" s="26" t="n">
        <v>0</v>
      </c>
      <c r="AB16" s="26" t="n">
        <v>0</v>
      </c>
      <c r="AC16" s="26" t="n">
        <v>0</v>
      </c>
      <c r="AD16" s="26" t="n">
        <v>0</v>
      </c>
      <c r="AE16" s="26" t="n">
        <v>0</v>
      </c>
      <c r="AF16" s="26" t="n">
        <v>0</v>
      </c>
      <c r="AG16" s="26" t="n">
        <v>0</v>
      </c>
      <c r="AH16" s="26" t="n">
        <v>0</v>
      </c>
      <c r="AI16" s="26" t="n">
        <v>0</v>
      </c>
      <c r="AJ16" s="26" t="n">
        <v>0</v>
      </c>
      <c r="AK16" s="26" t="n">
        <v>0</v>
      </c>
      <c r="AL16" s="26" t="n">
        <v>0</v>
      </c>
      <c r="AM16" s="26" t="n">
        <v>1</v>
      </c>
      <c r="AN16" s="26" t="n">
        <v>0</v>
      </c>
      <c r="AO16" s="13" t="s">
        <v>183</v>
      </c>
      <c r="AP16" s="13" t="s">
        <v>247</v>
      </c>
      <c r="AQ16" s="20" t="s">
        <v>248</v>
      </c>
    </row>
    <row r="17" customFormat="false" ht="23.85" hidden="false" customHeight="false" outlineLevel="0" collapsed="false">
      <c r="A17" s="13" t="s">
        <v>249</v>
      </c>
      <c r="B17" s="20" t="s">
        <v>250</v>
      </c>
      <c r="C17" s="20" t="s">
        <v>251</v>
      </c>
      <c r="D17" s="13" t="s">
        <v>188</v>
      </c>
      <c r="E17" s="20" t="s">
        <v>181</v>
      </c>
      <c r="F17" s="23" t="n">
        <v>140000</v>
      </c>
      <c r="G17" s="23" t="n">
        <v>70000</v>
      </c>
      <c r="H17" s="24" t="n">
        <f aca="false">F17+G17</f>
        <v>210000</v>
      </c>
      <c r="I17" s="25" t="n">
        <f aca="false">SUM(K17:AN17)</f>
        <v>2</v>
      </c>
      <c r="J17" s="24" t="n">
        <f aca="false">IF(I17=0,0,H17/I17)</f>
        <v>105000</v>
      </c>
      <c r="K17" s="26" t="n">
        <v>0</v>
      </c>
      <c r="L17" s="26" t="n">
        <v>0</v>
      </c>
      <c r="M17" s="26" t="n">
        <v>0</v>
      </c>
      <c r="N17" s="26" t="n">
        <v>0</v>
      </c>
      <c r="O17" s="26" t="n">
        <v>0</v>
      </c>
      <c r="P17" s="26" t="n">
        <v>0</v>
      </c>
      <c r="Q17" s="26" t="n">
        <v>0</v>
      </c>
      <c r="R17" s="26" t="n">
        <v>0</v>
      </c>
      <c r="S17" s="26" t="n">
        <v>0</v>
      </c>
      <c r="T17" s="26" t="n">
        <v>0</v>
      </c>
      <c r="U17" s="26" t="n">
        <v>1</v>
      </c>
      <c r="V17" s="26" t="n">
        <v>0</v>
      </c>
      <c r="W17" s="26" t="n">
        <v>0</v>
      </c>
      <c r="X17" s="26" t="n">
        <v>0</v>
      </c>
      <c r="Y17" s="26" t="n">
        <v>0</v>
      </c>
      <c r="Z17" s="26" t="n">
        <v>0</v>
      </c>
      <c r="AA17" s="26" t="n">
        <v>0</v>
      </c>
      <c r="AB17" s="26" t="n">
        <v>1</v>
      </c>
      <c r="AC17" s="26" t="n">
        <v>0</v>
      </c>
      <c r="AD17" s="26" t="n">
        <v>0</v>
      </c>
      <c r="AE17" s="26" t="n">
        <v>0</v>
      </c>
      <c r="AF17" s="26" t="n">
        <v>0</v>
      </c>
      <c r="AG17" s="26" t="n">
        <v>0</v>
      </c>
      <c r="AH17" s="26" t="n">
        <v>0</v>
      </c>
      <c r="AI17" s="26" t="n">
        <v>0</v>
      </c>
      <c r="AJ17" s="26" t="n">
        <v>0</v>
      </c>
      <c r="AK17" s="26" t="n">
        <v>0</v>
      </c>
      <c r="AL17" s="26" t="n">
        <v>0</v>
      </c>
      <c r="AM17" s="26" t="n">
        <v>0</v>
      </c>
      <c r="AN17" s="26" t="n">
        <v>0</v>
      </c>
      <c r="AO17" s="13" t="s">
        <v>217</v>
      </c>
      <c r="AP17" s="13" t="s">
        <v>201</v>
      </c>
      <c r="AQ17" s="20" t="s">
        <v>252</v>
      </c>
    </row>
    <row r="18" customFormat="false" ht="23.85" hidden="false" customHeight="false" outlineLevel="0" collapsed="false">
      <c r="A18" s="13" t="s">
        <v>253</v>
      </c>
      <c r="B18" s="20" t="s">
        <v>254</v>
      </c>
      <c r="C18" s="20" t="s">
        <v>255</v>
      </c>
      <c r="D18" s="13" t="s">
        <v>180</v>
      </c>
      <c r="E18" s="20" t="s">
        <v>210</v>
      </c>
      <c r="F18" s="23" t="n">
        <v>40000</v>
      </c>
      <c r="G18" s="23" t="n">
        <v>60000</v>
      </c>
      <c r="H18" s="24" t="n">
        <f aca="false">F18+G18</f>
        <v>100000</v>
      </c>
      <c r="I18" s="25" t="n">
        <f aca="false">SUM(K18:AN18)</f>
        <v>2</v>
      </c>
      <c r="J18" s="24" t="n">
        <f aca="false">IF(I18=0,0,H18/I18)</f>
        <v>50000</v>
      </c>
      <c r="K18" s="26" t="n">
        <v>0</v>
      </c>
      <c r="L18" s="26" t="n">
        <v>0</v>
      </c>
      <c r="M18" s="26" t="n">
        <v>0</v>
      </c>
      <c r="N18" s="26" t="n">
        <v>0</v>
      </c>
      <c r="O18" s="26" t="n">
        <v>0</v>
      </c>
      <c r="P18" s="26" t="n">
        <v>0</v>
      </c>
      <c r="Q18" s="26" t="n">
        <v>0</v>
      </c>
      <c r="R18" s="26" t="n">
        <v>0</v>
      </c>
      <c r="S18" s="26" t="n">
        <v>0</v>
      </c>
      <c r="T18" s="26" t="n">
        <v>0</v>
      </c>
      <c r="U18" s="26" t="n">
        <v>0</v>
      </c>
      <c r="V18" s="26" t="n">
        <v>0</v>
      </c>
      <c r="W18" s="26" t="n">
        <v>1</v>
      </c>
      <c r="X18" s="26" t="n">
        <v>0</v>
      </c>
      <c r="Y18" s="26" t="n">
        <v>0</v>
      </c>
      <c r="Z18" s="26" t="n">
        <v>0</v>
      </c>
      <c r="AA18" s="26" t="n">
        <v>0</v>
      </c>
      <c r="AB18" s="26" t="n">
        <v>1</v>
      </c>
      <c r="AC18" s="26" t="n">
        <v>0</v>
      </c>
      <c r="AD18" s="26" t="n">
        <v>0</v>
      </c>
      <c r="AE18" s="26" t="n">
        <v>0</v>
      </c>
      <c r="AF18" s="26" t="n">
        <v>0</v>
      </c>
      <c r="AG18" s="26" t="n">
        <v>0</v>
      </c>
      <c r="AH18" s="26" t="n">
        <v>0</v>
      </c>
      <c r="AI18" s="26" t="n">
        <v>0</v>
      </c>
      <c r="AJ18" s="26" t="n">
        <v>0</v>
      </c>
      <c r="AK18" s="26" t="n">
        <v>0</v>
      </c>
      <c r="AL18" s="26" t="n">
        <v>0</v>
      </c>
      <c r="AM18" s="26" t="n">
        <v>0</v>
      </c>
      <c r="AN18" s="26" t="n">
        <v>0</v>
      </c>
      <c r="AO18" s="13" t="s">
        <v>205</v>
      </c>
      <c r="AP18" s="13" t="s">
        <v>256</v>
      </c>
      <c r="AQ18" s="20" t="s">
        <v>257</v>
      </c>
    </row>
    <row r="19" customFormat="false" ht="23.85" hidden="false" customHeight="false" outlineLevel="0" collapsed="false">
      <c r="A19" s="13" t="s">
        <v>258</v>
      </c>
      <c r="B19" s="20" t="s">
        <v>259</v>
      </c>
      <c r="C19" s="20" t="s">
        <v>260</v>
      </c>
      <c r="D19" s="13" t="s">
        <v>180</v>
      </c>
      <c r="E19" s="20" t="s">
        <v>181</v>
      </c>
      <c r="F19" s="23" t="n">
        <v>30000</v>
      </c>
      <c r="G19" s="23" t="n">
        <v>15000</v>
      </c>
      <c r="H19" s="24" t="n">
        <f aca="false">F19+G19</f>
        <v>45000</v>
      </c>
      <c r="I19" s="25" t="n">
        <f aca="false">SUM(K19:AN19)</f>
        <v>2</v>
      </c>
      <c r="J19" s="24" t="n">
        <f aca="false">IF(I19=0,0,H19/I19)</f>
        <v>22500</v>
      </c>
      <c r="K19" s="26" t="n">
        <v>0</v>
      </c>
      <c r="L19" s="26" t="n">
        <v>0</v>
      </c>
      <c r="M19" s="26" t="n">
        <v>0</v>
      </c>
      <c r="N19" s="26" t="n">
        <v>0</v>
      </c>
      <c r="O19" s="26" t="n">
        <v>0</v>
      </c>
      <c r="P19" s="26" t="n">
        <v>0</v>
      </c>
      <c r="Q19" s="26" t="n">
        <v>0</v>
      </c>
      <c r="R19" s="26" t="n">
        <v>0</v>
      </c>
      <c r="S19" s="26" t="n">
        <v>0</v>
      </c>
      <c r="T19" s="26" t="n">
        <v>0</v>
      </c>
      <c r="U19" s="26" t="n">
        <v>0</v>
      </c>
      <c r="V19" s="26" t="n">
        <v>0</v>
      </c>
      <c r="W19" s="26" t="n">
        <v>0</v>
      </c>
      <c r="X19" s="26" t="n">
        <v>1</v>
      </c>
      <c r="Y19" s="26" t="n">
        <v>0</v>
      </c>
      <c r="Z19" s="26" t="n">
        <v>0</v>
      </c>
      <c r="AA19" s="26" t="n">
        <v>0</v>
      </c>
      <c r="AB19" s="26" t="n">
        <v>0</v>
      </c>
      <c r="AC19" s="26" t="n">
        <v>0</v>
      </c>
      <c r="AD19" s="26" t="n">
        <v>0</v>
      </c>
      <c r="AE19" s="26" t="n">
        <v>0</v>
      </c>
      <c r="AF19" s="26" t="n">
        <v>0</v>
      </c>
      <c r="AG19" s="26" t="n">
        <v>0</v>
      </c>
      <c r="AH19" s="26" t="n">
        <v>0</v>
      </c>
      <c r="AI19" s="26" t="n">
        <v>0</v>
      </c>
      <c r="AJ19" s="26" t="n">
        <v>0</v>
      </c>
      <c r="AK19" s="26" t="n">
        <v>0</v>
      </c>
      <c r="AL19" s="26" t="n">
        <v>0</v>
      </c>
      <c r="AM19" s="26" t="n">
        <v>0</v>
      </c>
      <c r="AN19" s="26" t="n">
        <v>1</v>
      </c>
      <c r="AO19" s="13" t="s">
        <v>182</v>
      </c>
      <c r="AP19" s="13" t="s">
        <v>217</v>
      </c>
      <c r="AQ19" s="20" t="s">
        <v>261</v>
      </c>
    </row>
    <row r="20" customFormat="false" ht="23.85" hidden="false" customHeight="false" outlineLevel="0" collapsed="false">
      <c r="A20" s="13" t="s">
        <v>262</v>
      </c>
      <c r="B20" s="20" t="s">
        <v>263</v>
      </c>
      <c r="C20" s="20" t="s">
        <v>264</v>
      </c>
      <c r="D20" s="13" t="s">
        <v>188</v>
      </c>
      <c r="E20" s="20" t="s">
        <v>181</v>
      </c>
      <c r="F20" s="23" t="n">
        <v>80000</v>
      </c>
      <c r="G20" s="23" t="n">
        <v>50000</v>
      </c>
      <c r="H20" s="24" t="n">
        <f aca="false">F20+G20</f>
        <v>130000</v>
      </c>
      <c r="I20" s="25" t="n">
        <f aca="false">SUM(K20:AN20)</f>
        <v>3</v>
      </c>
      <c r="J20" s="24" t="n">
        <f aca="false">IF(I20=0,0,H20/I20)</f>
        <v>43333.3333333333</v>
      </c>
      <c r="K20" s="26" t="n">
        <v>0</v>
      </c>
      <c r="L20" s="26" t="n">
        <v>0</v>
      </c>
      <c r="M20" s="26" t="n">
        <v>0</v>
      </c>
      <c r="N20" s="26" t="n">
        <v>0</v>
      </c>
      <c r="O20" s="26" t="n">
        <v>0</v>
      </c>
      <c r="P20" s="26" t="n">
        <v>0</v>
      </c>
      <c r="Q20" s="26" t="n">
        <v>0</v>
      </c>
      <c r="R20" s="26" t="n">
        <v>0</v>
      </c>
      <c r="S20" s="26" t="n">
        <v>0</v>
      </c>
      <c r="T20" s="26" t="n">
        <v>0</v>
      </c>
      <c r="U20" s="26" t="n">
        <v>0</v>
      </c>
      <c r="V20" s="26" t="n">
        <v>0</v>
      </c>
      <c r="W20" s="26" t="n">
        <v>0</v>
      </c>
      <c r="X20" s="26" t="n">
        <v>0</v>
      </c>
      <c r="Y20" s="26" t="n">
        <v>1</v>
      </c>
      <c r="Z20" s="26" t="n">
        <v>0</v>
      </c>
      <c r="AA20" s="26" t="n">
        <v>1</v>
      </c>
      <c r="AB20" s="26" t="n">
        <v>0</v>
      </c>
      <c r="AC20" s="26" t="n">
        <v>0</v>
      </c>
      <c r="AD20" s="26" t="n">
        <v>0</v>
      </c>
      <c r="AE20" s="26" t="n">
        <v>0</v>
      </c>
      <c r="AF20" s="26" t="n">
        <v>0</v>
      </c>
      <c r="AG20" s="26" t="n">
        <v>0</v>
      </c>
      <c r="AH20" s="26" t="n">
        <v>0</v>
      </c>
      <c r="AI20" s="26" t="n">
        <v>1</v>
      </c>
      <c r="AJ20" s="26" t="n">
        <v>0</v>
      </c>
      <c r="AK20" s="26" t="n">
        <v>0</v>
      </c>
      <c r="AL20" s="26" t="n">
        <v>0</v>
      </c>
      <c r="AM20" s="26" t="n">
        <v>0</v>
      </c>
      <c r="AN20" s="26" t="n">
        <v>0</v>
      </c>
      <c r="AO20" s="13" t="s">
        <v>190</v>
      </c>
      <c r="AP20" s="13" t="s">
        <v>201</v>
      </c>
      <c r="AQ20" s="20" t="s">
        <v>265</v>
      </c>
    </row>
    <row r="21" customFormat="false" ht="15" hidden="false" customHeight="false" outlineLevel="0" collapsed="false">
      <c r="A21" s="13" t="s">
        <v>266</v>
      </c>
      <c r="B21" s="20" t="s">
        <v>267</v>
      </c>
      <c r="C21" s="20" t="s">
        <v>199</v>
      </c>
      <c r="D21" s="13" t="s">
        <v>209</v>
      </c>
      <c r="E21" s="20" t="s">
        <v>268</v>
      </c>
      <c r="F21" s="23" t="n">
        <v>350000</v>
      </c>
      <c r="G21" s="23" t="n">
        <v>120000</v>
      </c>
      <c r="H21" s="24" t="n">
        <f aca="false">F21+G21</f>
        <v>470000</v>
      </c>
      <c r="I21" s="25" t="n">
        <f aca="false">SUM(K21:AN21)</f>
        <v>1</v>
      </c>
      <c r="J21" s="24" t="n">
        <f aca="false">IF(I21=0,0,H21/I21)</f>
        <v>470000</v>
      </c>
      <c r="K21" s="26" t="n">
        <v>0</v>
      </c>
      <c r="L21" s="26" t="n">
        <v>0</v>
      </c>
      <c r="M21" s="26" t="n">
        <v>0</v>
      </c>
      <c r="N21" s="26" t="n">
        <v>0</v>
      </c>
      <c r="O21" s="26" t="n">
        <v>0</v>
      </c>
      <c r="P21" s="26" t="n">
        <v>0</v>
      </c>
      <c r="Q21" s="26" t="n">
        <v>0</v>
      </c>
      <c r="R21" s="26" t="n">
        <v>0</v>
      </c>
      <c r="S21" s="26" t="n">
        <v>0</v>
      </c>
      <c r="T21" s="26" t="n">
        <v>0</v>
      </c>
      <c r="U21" s="26" t="n">
        <v>0</v>
      </c>
      <c r="V21" s="26" t="n">
        <v>0</v>
      </c>
      <c r="W21" s="26" t="n">
        <v>0</v>
      </c>
      <c r="X21" s="26" t="n">
        <v>0</v>
      </c>
      <c r="Y21" s="26" t="n">
        <v>0</v>
      </c>
      <c r="Z21" s="26" t="n">
        <v>1</v>
      </c>
      <c r="AA21" s="26" t="n">
        <v>0</v>
      </c>
      <c r="AB21" s="26" t="n">
        <v>0</v>
      </c>
      <c r="AC21" s="26" t="n">
        <v>0</v>
      </c>
      <c r="AD21" s="26" t="n">
        <v>0</v>
      </c>
      <c r="AE21" s="26" t="n">
        <v>0</v>
      </c>
      <c r="AF21" s="26" t="n">
        <v>0</v>
      </c>
      <c r="AG21" s="26" t="n">
        <v>0</v>
      </c>
      <c r="AH21" s="26" t="n">
        <v>0</v>
      </c>
      <c r="AI21" s="26" t="n">
        <v>0</v>
      </c>
      <c r="AJ21" s="26" t="n">
        <v>0</v>
      </c>
      <c r="AK21" s="26" t="n">
        <v>0</v>
      </c>
      <c r="AL21" s="26" t="n">
        <v>0</v>
      </c>
      <c r="AM21" s="26" t="n">
        <v>0</v>
      </c>
      <c r="AN21" s="26" t="n">
        <v>0</v>
      </c>
      <c r="AO21" s="13" t="s">
        <v>183</v>
      </c>
      <c r="AP21" s="13" t="s">
        <v>269</v>
      </c>
      <c r="AQ21" s="20" t="s">
        <v>270</v>
      </c>
    </row>
    <row r="22" customFormat="false" ht="15" hidden="false" customHeight="false" outlineLevel="0" collapsed="false">
      <c r="A22" s="13" t="s">
        <v>271</v>
      </c>
      <c r="B22" s="20" t="s">
        <v>272</v>
      </c>
      <c r="C22" s="20" t="s">
        <v>226</v>
      </c>
      <c r="D22" s="13" t="s">
        <v>188</v>
      </c>
      <c r="E22" s="20" t="s">
        <v>232</v>
      </c>
      <c r="F22" s="23" t="n">
        <v>120000</v>
      </c>
      <c r="G22" s="23" t="n">
        <v>40000</v>
      </c>
      <c r="H22" s="24" t="n">
        <f aca="false">F22+G22</f>
        <v>160000</v>
      </c>
      <c r="I22" s="25" t="n">
        <f aca="false">SUM(K22:AN22)</f>
        <v>3</v>
      </c>
      <c r="J22" s="24" t="n">
        <f aca="false">IF(I22=0,0,H22/I22)</f>
        <v>53333.3333333333</v>
      </c>
      <c r="K22" s="26" t="n">
        <v>0</v>
      </c>
      <c r="L22" s="26" t="n">
        <v>0</v>
      </c>
      <c r="M22" s="26" t="n">
        <v>0</v>
      </c>
      <c r="N22" s="26" t="n">
        <v>0</v>
      </c>
      <c r="O22" s="26" t="n">
        <v>0</v>
      </c>
      <c r="P22" s="26" t="n">
        <v>0</v>
      </c>
      <c r="Q22" s="26" t="n">
        <v>0</v>
      </c>
      <c r="R22" s="26" t="n">
        <v>0</v>
      </c>
      <c r="S22" s="26" t="n">
        <v>0</v>
      </c>
      <c r="T22" s="26" t="n">
        <v>0</v>
      </c>
      <c r="U22" s="26" t="n">
        <v>0</v>
      </c>
      <c r="V22" s="26" t="n">
        <v>0</v>
      </c>
      <c r="W22" s="26" t="n">
        <v>0</v>
      </c>
      <c r="X22" s="26" t="n">
        <v>0</v>
      </c>
      <c r="Y22" s="26" t="n">
        <v>0</v>
      </c>
      <c r="Z22" s="26" t="n">
        <v>0</v>
      </c>
      <c r="AA22" s="26" t="n">
        <v>1</v>
      </c>
      <c r="AB22" s="26" t="n">
        <v>0</v>
      </c>
      <c r="AC22" s="26" t="n">
        <v>0</v>
      </c>
      <c r="AD22" s="26" t="n">
        <v>0</v>
      </c>
      <c r="AE22" s="26" t="n">
        <v>1</v>
      </c>
      <c r="AF22" s="26" t="n">
        <v>0</v>
      </c>
      <c r="AG22" s="26" t="n">
        <v>0</v>
      </c>
      <c r="AH22" s="26" t="n">
        <v>0</v>
      </c>
      <c r="AI22" s="26" t="n">
        <v>1</v>
      </c>
      <c r="AJ22" s="26" t="n">
        <v>0</v>
      </c>
      <c r="AK22" s="26" t="n">
        <v>0</v>
      </c>
      <c r="AL22" s="26" t="n">
        <v>0</v>
      </c>
      <c r="AM22" s="26" t="n">
        <v>0</v>
      </c>
      <c r="AN22" s="26" t="n">
        <v>0</v>
      </c>
      <c r="AO22" s="13" t="s">
        <v>217</v>
      </c>
      <c r="AP22" s="13" t="s">
        <v>191</v>
      </c>
      <c r="AQ22" s="20" t="s">
        <v>273</v>
      </c>
    </row>
    <row r="23" customFormat="false" ht="23.85" hidden="false" customHeight="false" outlineLevel="0" collapsed="false">
      <c r="A23" s="13" t="s">
        <v>274</v>
      </c>
      <c r="B23" s="20" t="s">
        <v>275</v>
      </c>
      <c r="C23" s="20" t="s">
        <v>276</v>
      </c>
      <c r="D23" s="13" t="s">
        <v>180</v>
      </c>
      <c r="E23" s="20" t="s">
        <v>277</v>
      </c>
      <c r="F23" s="23" t="n">
        <v>60000</v>
      </c>
      <c r="G23" s="23" t="n">
        <v>40000</v>
      </c>
      <c r="H23" s="24" t="n">
        <f aca="false">F23+G23</f>
        <v>100000</v>
      </c>
      <c r="I23" s="25" t="n">
        <f aca="false">SUM(K23:AN23)</f>
        <v>1</v>
      </c>
      <c r="J23" s="24" t="n">
        <f aca="false">IF(I23=0,0,H23/I23)</f>
        <v>100000</v>
      </c>
      <c r="K23" s="26" t="n">
        <v>0</v>
      </c>
      <c r="L23" s="26" t="n">
        <v>0</v>
      </c>
      <c r="M23" s="26" t="n">
        <v>0</v>
      </c>
      <c r="N23" s="26" t="n">
        <v>0</v>
      </c>
      <c r="O23" s="26" t="n">
        <v>0</v>
      </c>
      <c r="P23" s="26" t="n">
        <v>0</v>
      </c>
      <c r="Q23" s="26" t="n">
        <v>0</v>
      </c>
      <c r="R23" s="26" t="n">
        <v>0</v>
      </c>
      <c r="S23" s="26" t="n">
        <v>0</v>
      </c>
      <c r="T23" s="26" t="n">
        <v>0</v>
      </c>
      <c r="U23" s="26" t="n">
        <v>0</v>
      </c>
      <c r="V23" s="26" t="n">
        <v>0</v>
      </c>
      <c r="W23" s="26" t="n">
        <v>0</v>
      </c>
      <c r="X23" s="26" t="n">
        <v>0</v>
      </c>
      <c r="Y23" s="26" t="n">
        <v>0</v>
      </c>
      <c r="Z23" s="26" t="n">
        <v>0</v>
      </c>
      <c r="AA23" s="26" t="n">
        <v>0</v>
      </c>
      <c r="AB23" s="26" t="n">
        <v>0</v>
      </c>
      <c r="AC23" s="26" t="n">
        <v>0</v>
      </c>
      <c r="AD23" s="26" t="n">
        <v>0</v>
      </c>
      <c r="AE23" s="26" t="n">
        <v>0</v>
      </c>
      <c r="AF23" s="26" t="n">
        <v>0</v>
      </c>
      <c r="AG23" s="26" t="n">
        <v>0</v>
      </c>
      <c r="AH23" s="26" t="n">
        <v>0</v>
      </c>
      <c r="AI23" s="26" t="n">
        <v>0</v>
      </c>
      <c r="AJ23" s="26" t="n">
        <v>1</v>
      </c>
      <c r="AK23" s="26" t="n">
        <v>0</v>
      </c>
      <c r="AL23" s="26" t="n">
        <v>0</v>
      </c>
      <c r="AM23" s="26" t="n">
        <v>0</v>
      </c>
      <c r="AN23" s="26" t="n">
        <v>0</v>
      </c>
      <c r="AO23" s="13" t="s">
        <v>182</v>
      </c>
      <c r="AP23" s="13" t="s">
        <v>183</v>
      </c>
      <c r="AQ23" s="20" t="s">
        <v>278</v>
      </c>
    </row>
    <row r="24" customFormat="false" ht="15" hidden="false" customHeight="false" outlineLevel="0" collapsed="false">
      <c r="A24" s="13" t="s">
        <v>279</v>
      </c>
      <c r="B24" s="20" t="s">
        <v>280</v>
      </c>
      <c r="C24" s="20" t="s">
        <v>264</v>
      </c>
      <c r="D24" s="13" t="s">
        <v>180</v>
      </c>
      <c r="E24" s="20" t="s">
        <v>181</v>
      </c>
      <c r="F24" s="23" t="n">
        <v>25000</v>
      </c>
      <c r="G24" s="23" t="n">
        <v>10000</v>
      </c>
      <c r="H24" s="24" t="n">
        <f aca="false">F24+G24</f>
        <v>35000</v>
      </c>
      <c r="I24" s="25" t="n">
        <f aca="false">SUM(K24:AN24)</f>
        <v>1</v>
      </c>
      <c r="J24" s="24" t="n">
        <f aca="false">IF(I24=0,0,H24/I24)</f>
        <v>35000</v>
      </c>
      <c r="K24" s="26" t="n">
        <v>0</v>
      </c>
      <c r="L24" s="26" t="n">
        <v>0</v>
      </c>
      <c r="M24" s="26" t="n">
        <v>0</v>
      </c>
      <c r="N24" s="26" t="n">
        <v>0</v>
      </c>
      <c r="O24" s="26" t="n">
        <v>0</v>
      </c>
      <c r="P24" s="26" t="n">
        <v>0</v>
      </c>
      <c r="Q24" s="26" t="n">
        <v>0</v>
      </c>
      <c r="R24" s="26" t="n">
        <v>0</v>
      </c>
      <c r="S24" s="26" t="n">
        <v>0</v>
      </c>
      <c r="T24" s="26" t="n">
        <v>0</v>
      </c>
      <c r="U24" s="26" t="n">
        <v>0</v>
      </c>
      <c r="V24" s="26" t="n">
        <v>0</v>
      </c>
      <c r="W24" s="26" t="n">
        <v>0</v>
      </c>
      <c r="X24" s="26" t="n">
        <v>0</v>
      </c>
      <c r="Y24" s="26" t="n">
        <v>0</v>
      </c>
      <c r="Z24" s="26" t="n">
        <v>0</v>
      </c>
      <c r="AA24" s="26" t="n">
        <v>0</v>
      </c>
      <c r="AB24" s="26" t="n">
        <v>0</v>
      </c>
      <c r="AC24" s="26" t="n">
        <v>0</v>
      </c>
      <c r="AD24" s="26" t="n">
        <v>0</v>
      </c>
      <c r="AE24" s="26" t="n">
        <v>0</v>
      </c>
      <c r="AF24" s="26" t="n">
        <v>0</v>
      </c>
      <c r="AG24" s="26" t="n">
        <v>0</v>
      </c>
      <c r="AH24" s="26" t="n">
        <v>0</v>
      </c>
      <c r="AI24" s="26" t="n">
        <v>0</v>
      </c>
      <c r="AJ24" s="26" t="n">
        <v>0</v>
      </c>
      <c r="AK24" s="26" t="n">
        <v>1</v>
      </c>
      <c r="AL24" s="26" t="n">
        <v>0</v>
      </c>
      <c r="AM24" s="26" t="n">
        <v>0</v>
      </c>
      <c r="AN24" s="26" t="n">
        <v>0</v>
      </c>
      <c r="AO24" s="13" t="s">
        <v>182</v>
      </c>
      <c r="AP24" s="13" t="s">
        <v>190</v>
      </c>
      <c r="AQ24" s="20" t="s">
        <v>281</v>
      </c>
    </row>
    <row r="25" customFormat="false" ht="23.85" hidden="false" customHeight="false" outlineLevel="0" collapsed="false">
      <c r="A25" s="13" t="s">
        <v>282</v>
      </c>
      <c r="B25" s="20" t="s">
        <v>283</v>
      </c>
      <c r="C25" s="20" t="s">
        <v>284</v>
      </c>
      <c r="D25" s="13" t="s">
        <v>188</v>
      </c>
      <c r="E25" s="20" t="s">
        <v>181</v>
      </c>
      <c r="F25" s="23" t="n">
        <v>110000</v>
      </c>
      <c r="G25" s="23" t="n">
        <v>30000</v>
      </c>
      <c r="H25" s="24" t="n">
        <f aca="false">F25+G25</f>
        <v>140000</v>
      </c>
      <c r="I25" s="25" t="n">
        <f aca="false">SUM(K25:AN25)</f>
        <v>2</v>
      </c>
      <c r="J25" s="24" t="n">
        <f aca="false">IF(I25=0,0,H25/I25)</f>
        <v>70000</v>
      </c>
      <c r="K25" s="26" t="n">
        <v>0</v>
      </c>
      <c r="L25" s="26" t="n">
        <v>0</v>
      </c>
      <c r="M25" s="26" t="n">
        <v>0</v>
      </c>
      <c r="N25" s="26" t="n">
        <v>0</v>
      </c>
      <c r="O25" s="26" t="n">
        <v>0</v>
      </c>
      <c r="P25" s="26" t="n">
        <v>0</v>
      </c>
      <c r="Q25" s="26" t="n">
        <v>0</v>
      </c>
      <c r="R25" s="26" t="n">
        <v>0</v>
      </c>
      <c r="S25" s="26" t="n">
        <v>0</v>
      </c>
      <c r="T25" s="26" t="n">
        <v>0</v>
      </c>
      <c r="U25" s="26" t="n">
        <v>0</v>
      </c>
      <c r="V25" s="26" t="n">
        <v>0</v>
      </c>
      <c r="W25" s="26" t="n">
        <v>0</v>
      </c>
      <c r="X25" s="26" t="n">
        <v>0</v>
      </c>
      <c r="Y25" s="26" t="n">
        <v>0</v>
      </c>
      <c r="Z25" s="26" t="n">
        <v>0</v>
      </c>
      <c r="AA25" s="26" t="n">
        <v>0</v>
      </c>
      <c r="AB25" s="26" t="n">
        <v>0</v>
      </c>
      <c r="AC25" s="26" t="n">
        <v>0</v>
      </c>
      <c r="AD25" s="26" t="n">
        <v>0</v>
      </c>
      <c r="AE25" s="26" t="n">
        <v>0</v>
      </c>
      <c r="AF25" s="26" t="n">
        <v>1</v>
      </c>
      <c r="AG25" s="26" t="n">
        <v>0</v>
      </c>
      <c r="AH25" s="26" t="n">
        <v>0</v>
      </c>
      <c r="AI25" s="26" t="n">
        <v>0</v>
      </c>
      <c r="AJ25" s="26" t="n">
        <v>0</v>
      </c>
      <c r="AK25" s="26" t="n">
        <v>0</v>
      </c>
      <c r="AL25" s="26" t="n">
        <v>0</v>
      </c>
      <c r="AM25" s="26" t="n">
        <v>1</v>
      </c>
      <c r="AN25" s="26" t="n">
        <v>0</v>
      </c>
      <c r="AO25" s="13" t="s">
        <v>217</v>
      </c>
      <c r="AP25" s="13" t="s">
        <v>191</v>
      </c>
      <c r="AQ25" s="20" t="s">
        <v>285</v>
      </c>
    </row>
    <row r="26" customFormat="false" ht="23.85" hidden="false" customHeight="false" outlineLevel="0" collapsed="false">
      <c r="A26" s="13" t="s">
        <v>286</v>
      </c>
      <c r="B26" s="20" t="s">
        <v>287</v>
      </c>
      <c r="C26" s="20" t="s">
        <v>288</v>
      </c>
      <c r="D26" s="13" t="s">
        <v>180</v>
      </c>
      <c r="E26" s="20" t="s">
        <v>195</v>
      </c>
      <c r="F26" s="23" t="n">
        <v>25000</v>
      </c>
      <c r="G26" s="23" t="n">
        <v>30000</v>
      </c>
      <c r="H26" s="24" t="n">
        <f aca="false">F26+G26</f>
        <v>55000</v>
      </c>
      <c r="I26" s="25" t="n">
        <f aca="false">SUM(K26:AN26)</f>
        <v>1</v>
      </c>
      <c r="J26" s="24" t="n">
        <f aca="false">IF(I26=0,0,H26/I26)</f>
        <v>55000</v>
      </c>
      <c r="K26" s="26" t="n">
        <v>0</v>
      </c>
      <c r="L26" s="26" t="n">
        <v>0</v>
      </c>
      <c r="M26" s="26" t="n">
        <v>0</v>
      </c>
      <c r="N26" s="26" t="n">
        <v>0</v>
      </c>
      <c r="O26" s="26" t="n">
        <v>0</v>
      </c>
      <c r="P26" s="26" t="n">
        <v>0</v>
      </c>
      <c r="Q26" s="26" t="n">
        <v>0</v>
      </c>
      <c r="R26" s="26" t="n">
        <v>0</v>
      </c>
      <c r="S26" s="26" t="n">
        <v>0</v>
      </c>
      <c r="T26" s="26" t="n">
        <v>0</v>
      </c>
      <c r="U26" s="26" t="n">
        <v>0</v>
      </c>
      <c r="V26" s="26" t="n">
        <v>0</v>
      </c>
      <c r="W26" s="26" t="n">
        <v>0</v>
      </c>
      <c r="X26" s="26" t="n">
        <v>0</v>
      </c>
      <c r="Y26" s="26" t="n">
        <v>0</v>
      </c>
      <c r="Z26" s="26" t="n">
        <v>0</v>
      </c>
      <c r="AA26" s="26" t="n">
        <v>0</v>
      </c>
      <c r="AB26" s="26" t="n">
        <v>0</v>
      </c>
      <c r="AC26" s="26" t="n">
        <v>0</v>
      </c>
      <c r="AD26" s="26" t="n">
        <v>0</v>
      </c>
      <c r="AE26" s="26" t="n">
        <v>0</v>
      </c>
      <c r="AF26" s="26" t="n">
        <v>0</v>
      </c>
      <c r="AG26" s="26" t="n">
        <v>0</v>
      </c>
      <c r="AH26" s="26" t="n">
        <v>0</v>
      </c>
      <c r="AI26" s="26" t="n">
        <v>0</v>
      </c>
      <c r="AJ26" s="26" t="n">
        <v>0</v>
      </c>
      <c r="AK26" s="26" t="n">
        <v>0</v>
      </c>
      <c r="AL26" s="26" t="n">
        <v>0</v>
      </c>
      <c r="AM26" s="26" t="n">
        <v>0</v>
      </c>
      <c r="AN26" s="26" t="n">
        <v>1</v>
      </c>
      <c r="AO26" s="13" t="s">
        <v>182</v>
      </c>
      <c r="AP26" s="13" t="s">
        <v>217</v>
      </c>
      <c r="AQ26" s="20" t="s">
        <v>289</v>
      </c>
    </row>
    <row r="27" customFormat="false" ht="15" hidden="false" customHeight="false" outlineLevel="0" collapsed="false">
      <c r="B27" s="14" t="s">
        <v>290</v>
      </c>
      <c r="F27" s="16" t="n">
        <f aca="false">SUM(F4:F26)</f>
        <v>3390000</v>
      </c>
      <c r="G27" s="16" t="n">
        <f aca="false">SUM(G4:G26)</f>
        <v>1921000</v>
      </c>
      <c r="H27" s="16" t="n">
        <f aca="false">SUM(H4:H26)</f>
        <v>5311000</v>
      </c>
      <c r="K27" s="16" t="n">
        <f aca="false">SUMPRODUCT(K4:K26,$J$4:$J$26)</f>
        <v>123422.969187675</v>
      </c>
      <c r="L27" s="16" t="n">
        <f aca="false">SUMPRODUCT(L4:L26,$J$4:$J$26)</f>
        <v>356345.191409897</v>
      </c>
      <c r="M27" s="16" t="n">
        <f aca="false">SUMPRODUCT(M4:M26,$J$4:$J$26)</f>
        <v>267145.191409897</v>
      </c>
      <c r="N27" s="16" t="n">
        <f aca="false">SUMPRODUCT(N4:N26,$J$4:$J$26)</f>
        <v>154470.588235294</v>
      </c>
      <c r="O27" s="16" t="n">
        <f aca="false">SUMPRODUCT(O4:O26,$J$4:$J$26)</f>
        <v>147137.254901961</v>
      </c>
      <c r="P27" s="16" t="n">
        <f aca="false">SUMPRODUCT(P4:P26,$J$4:$J$26)</f>
        <v>183956.302521008</v>
      </c>
      <c r="Q27" s="16" t="n">
        <f aca="false">SUMPRODUCT(Q4:Q26,$J$4:$J$26)</f>
        <v>282485.714285714</v>
      </c>
      <c r="R27" s="16" t="n">
        <f aca="false">SUMPRODUCT(R4:R26,$J$4:$J$26)</f>
        <v>108978.524743231</v>
      </c>
      <c r="S27" s="16" t="n">
        <f aca="false">SUMPRODUCT(S4:S26,$J$4:$J$26)</f>
        <v>209645.191409897</v>
      </c>
      <c r="T27" s="16" t="n">
        <f aca="false">SUMPRODUCT(T4:T26,$J$4:$J$26)</f>
        <v>355145.191409897</v>
      </c>
      <c r="U27" s="16" t="n">
        <f aca="false">SUMPRODUCT(U4:U26,$J$4:$J$26)</f>
        <v>201470.588235294</v>
      </c>
      <c r="V27" s="16" t="n">
        <f aca="false">SUMPRODUCT(V4:V26,$J$4:$J$26)</f>
        <v>110756.302521008</v>
      </c>
      <c r="W27" s="16" t="n">
        <f aca="false">SUMPRODUCT(W4:W26,$J$4:$J$26)</f>
        <v>72222.2222222222</v>
      </c>
      <c r="X27" s="16" t="n">
        <f aca="false">SUMPRODUCT(X4:X26,$J$4:$J$26)</f>
        <v>38500</v>
      </c>
      <c r="Y27" s="16" t="n">
        <f aca="false">SUMPRODUCT(Y4:Y26,$J$4:$J$26)</f>
        <v>43333.3333333333</v>
      </c>
      <c r="Z27" s="16" t="n">
        <f aca="false">SUMPRODUCT(Z4:Z26,$J$4:$J$26)</f>
        <v>492222.222222222</v>
      </c>
      <c r="AA27" s="16" t="n">
        <f aca="false">SUMPRODUCT(AA4:AA26,$J$4:$J$26)</f>
        <v>96666.6666666667</v>
      </c>
      <c r="AB27" s="16" t="n">
        <f aca="false">SUMPRODUCT(AB4:AB26,$J$4:$J$26)</f>
        <v>264670.588235294</v>
      </c>
      <c r="AC27" s="16" t="n">
        <f aca="false">SUMPRODUCT(AC4:AC26,$J$4:$J$26)</f>
        <v>138692.810457516</v>
      </c>
      <c r="AD27" s="16" t="n">
        <f aca="false">SUMPRODUCT(AD4:AD26,$J$4:$J$26)</f>
        <v>167422.969187675</v>
      </c>
      <c r="AE27" s="16" t="n">
        <f aca="false">SUMPRODUCT(AE4:AE26,$J$4:$J$26)</f>
        <v>127333.333333333</v>
      </c>
      <c r="AF27" s="16" t="n">
        <f aca="false">SUMPRODUCT(AF4:AF26,$J$4:$J$26)</f>
        <v>70000</v>
      </c>
      <c r="AG27" s="16" t="n">
        <f aca="false">SUMPRODUCT(AG4:AG26,$J$4:$J$26)</f>
        <v>180622.969187675</v>
      </c>
      <c r="AH27" s="16" t="n">
        <f aca="false">SUMPRODUCT(AH4:AH26,$J$4:$J$26)</f>
        <v>261756.302521008</v>
      </c>
      <c r="AI27" s="16" t="n">
        <f aca="false">SUMPRODUCT(AI4:AI26,$J$4:$J$26)</f>
        <v>96666.6666666667</v>
      </c>
      <c r="AJ27" s="16" t="n">
        <f aca="false">SUMPRODUCT(AJ4:AJ26,$J$4:$J$26)</f>
        <v>174000</v>
      </c>
      <c r="AK27" s="16" t="n">
        <f aca="false">SUMPRODUCT(AK4:AK26,$J$4:$J$26)</f>
        <v>85285.7142857143</v>
      </c>
      <c r="AL27" s="16" t="n">
        <f aca="false">SUMPRODUCT(AL4:AL26,$J$4:$J$26)</f>
        <v>192859.477124183</v>
      </c>
      <c r="AM27" s="16" t="n">
        <f aca="false">SUMPRODUCT(AM4:AM26,$J$4:$J$26)</f>
        <v>214285.714285714</v>
      </c>
      <c r="AN27" s="16" t="n">
        <f aca="false">SUMPRODUCT(AN4:AN26,$J$4:$J$26)</f>
        <v>93500</v>
      </c>
    </row>
    <row r="28" customFormat="false" ht="15" hidden="false" customHeight="false" outlineLevel="0" collapsed="false">
      <c r="B28" s="13" t="s">
        <v>291</v>
      </c>
      <c r="H28" s="27" t="n">
        <f aca="false">SUM(K27:AN27)-H27</f>
        <v>0</v>
      </c>
    </row>
    <row r="30" customFormat="false" ht="15" hidden="false" customHeight="false" outlineLevel="0" collapsed="false">
      <c r="B30" s="3" t="s">
        <v>292</v>
      </c>
    </row>
    <row r="31" customFormat="false" ht="15" hidden="false" customHeight="false" outlineLevel="0" collapsed="false">
      <c r="B31" s="3" t="s">
        <v>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0"/>
    <col collapsed="false" customWidth="true" hidden="false" outlineLevel="0" max="4" min="3" style="1" width="7"/>
    <col collapsed="false" customWidth="true" hidden="false" outlineLevel="0" max="5" min="5" style="1" width="8"/>
    <col collapsed="false" customWidth="true" hidden="false" outlineLevel="0" max="12" min="6" style="1" width="7"/>
    <col collapsed="false" customWidth="true" hidden="false" outlineLevel="0" max="15" min="13" style="1" width="11"/>
    <col collapsed="false" customWidth="true" hidden="false" outlineLevel="0" max="16" min="16" style="1" width="8"/>
    <col collapsed="false" customWidth="true" hidden="false" outlineLevel="0" max="17" min="17" style="1" width="26"/>
  </cols>
  <sheetData>
    <row r="1" customFormat="false" ht="17.35" hidden="false" customHeight="false" outlineLevel="0" collapsed="false">
      <c r="A1" s="2" t="s">
        <v>294</v>
      </c>
    </row>
    <row r="2" customFormat="false" ht="15" hidden="false" customHeight="false" outlineLevel="0" collapsed="false">
      <c r="A2" s="3" t="s">
        <v>295</v>
      </c>
    </row>
    <row r="4" customFormat="false" ht="23.85" hidden="false" customHeight="false" outlineLevel="0" collapsed="false">
      <c r="A4" s="4" t="s">
        <v>22</v>
      </c>
      <c r="B4" s="4" t="s">
        <v>296</v>
      </c>
      <c r="C4" s="4" t="s">
        <v>297</v>
      </c>
      <c r="D4" s="4" t="s">
        <v>24</v>
      </c>
      <c r="E4" s="4" t="s">
        <v>25</v>
      </c>
      <c r="F4" s="4" t="s">
        <v>27</v>
      </c>
      <c r="G4" s="4" t="s">
        <v>28</v>
      </c>
      <c r="H4" s="4" t="s">
        <v>30</v>
      </c>
      <c r="I4" s="4" t="s">
        <v>298</v>
      </c>
      <c r="J4" s="4" t="s">
        <v>299</v>
      </c>
      <c r="K4" s="4" t="s">
        <v>300</v>
      </c>
      <c r="L4" s="4" t="s">
        <v>301</v>
      </c>
      <c r="M4" s="4" t="s">
        <v>302</v>
      </c>
      <c r="N4" s="4" t="s">
        <v>303</v>
      </c>
      <c r="O4" s="4" t="s">
        <v>40</v>
      </c>
      <c r="P4" s="4" t="s">
        <v>304</v>
      </c>
      <c r="Q4" s="4" t="s">
        <v>42</v>
      </c>
    </row>
    <row r="5" customFormat="false" ht="15" hidden="false" customHeight="false" outlineLevel="0" collapsed="false">
      <c r="A5" s="13" t="s">
        <v>79</v>
      </c>
      <c r="B5" s="13" t="s">
        <v>305</v>
      </c>
      <c r="C5" s="11" t="n">
        <f aca="false">-1*Parameters!$B$9</f>
        <v>-0.1</v>
      </c>
      <c r="D5" s="11" t="n">
        <f aca="false">MAX(0.05,MIN(0.99,Inputs!C5+C5))</f>
        <v>0.65</v>
      </c>
      <c r="E5" s="11" t="n">
        <f aca="false">MAX(0.05,MIN(0.99,Inputs!D5+C5))</f>
        <v>0.4</v>
      </c>
      <c r="F5" s="11" t="n">
        <f aca="false">MAX(0.05,MIN(0.99,Inputs!E5+C5))</f>
        <v>0.6</v>
      </c>
      <c r="G5" s="11" t="n">
        <f aca="false">MAX(0.05,MIN(0.99,Inputs!F5+C5))</f>
        <v>0.85</v>
      </c>
      <c r="H5" s="11" t="n">
        <f aca="false">MAX(0.05,MIN(0.99,Inputs!G5-C5))</f>
        <v>0.45</v>
      </c>
      <c r="I5" s="7" t="n">
        <f aca="false">Inputs!H5</f>
        <v>0.95</v>
      </c>
      <c r="J5" s="8" t="n">
        <f aca="false">Inputs!J5</f>
        <v>9.3</v>
      </c>
      <c r="K5" s="11" t="n">
        <f aca="false">MAX(0.05,MIN(0.99,Inputs!K5-C5))</f>
        <v>0.85</v>
      </c>
      <c r="L5" s="11" t="n">
        <f aca="false">MAX(0.05,MIN(0.99,Inputs!L5-C5))</f>
        <v>0.85</v>
      </c>
      <c r="M5" s="10" t="n">
        <f aca="false">D5*E5*J5*((F5+G5)/2)*I5/H5*Parameters!$B$5</f>
        <v>3700.88333333333</v>
      </c>
      <c r="N5" s="10" t="n">
        <f aca="false">D5*E5*J5*Parameters!$B$4*I5/H5*Parameters!$B$5</f>
        <v>1531.4</v>
      </c>
      <c r="O5" s="10" t="n">
        <f aca="false">M5-M5*K5*L5</f>
        <v>1026.995125</v>
      </c>
      <c r="P5" s="11" t="n">
        <f aca="false">O5/N5</f>
        <v>0.670625</v>
      </c>
      <c r="Q5" s="13" t="str">
        <f aca="false">IF(P5&lt;Parameters!$B$6,"Below tolerance",IF(P5&lt;=Parameters!$B$7,"Approximately at tolerance","Above tolerance"))</f>
        <v>Below tolerance</v>
      </c>
    </row>
    <row r="6" customFormat="false" ht="15" hidden="false" customHeight="false" outlineLevel="0" collapsed="false">
      <c r="A6" s="13" t="s">
        <v>79</v>
      </c>
      <c r="B6" s="13" t="s">
        <v>306</v>
      </c>
      <c r="C6" s="11" t="n">
        <f aca="false">0*Parameters!$B$9</f>
        <v>0</v>
      </c>
      <c r="D6" s="11" t="n">
        <f aca="false">MAX(0.05,MIN(0.99,Inputs!C5+C6))</f>
        <v>0.75</v>
      </c>
      <c r="E6" s="11" t="n">
        <f aca="false">MAX(0.05,MIN(0.99,Inputs!D5+C6))</f>
        <v>0.5</v>
      </c>
      <c r="F6" s="11" t="n">
        <f aca="false">MAX(0.05,MIN(0.99,Inputs!E5+C6))</f>
        <v>0.7</v>
      </c>
      <c r="G6" s="11" t="n">
        <f aca="false">MAX(0.05,MIN(0.99,Inputs!F5+C6))</f>
        <v>0.95</v>
      </c>
      <c r="H6" s="11" t="n">
        <f aca="false">MAX(0.05,MIN(0.99,Inputs!G5-C6))</f>
        <v>0.35</v>
      </c>
      <c r="I6" s="7" t="n">
        <f aca="false">Inputs!H5</f>
        <v>0.95</v>
      </c>
      <c r="J6" s="8" t="n">
        <f aca="false">Inputs!J5</f>
        <v>9.3</v>
      </c>
      <c r="K6" s="11" t="n">
        <f aca="false">MAX(0.05,MIN(0.99,Inputs!K5-C6))</f>
        <v>0.75</v>
      </c>
      <c r="L6" s="11" t="n">
        <f aca="false">MAX(0.05,MIN(0.99,Inputs!L5-C6))</f>
        <v>0.75</v>
      </c>
      <c r="M6" s="10" t="n">
        <f aca="false">D6*E6*J6*((F6+G6)/2)*I6/H6*Parameters!$B$5</f>
        <v>7809.50892857143</v>
      </c>
      <c r="N6" s="10" t="n">
        <f aca="false">D6*E6*J6*Parameters!$B$4*I6/H6*Parameters!$B$5</f>
        <v>2839.82142857143</v>
      </c>
      <c r="O6" s="10" t="n">
        <f aca="false">M6-M6*K6*L6</f>
        <v>3416.66015625</v>
      </c>
      <c r="P6" s="11" t="n">
        <f aca="false">O6/N6</f>
        <v>1.203125</v>
      </c>
      <c r="Q6" s="13" t="str">
        <f aca="false">IF(P6&lt;Parameters!$B$6,"Below tolerance",IF(P6&lt;=Parameters!$B$7,"Approximately at tolerance","Above tolerance"))</f>
        <v>Above tolerance</v>
      </c>
    </row>
    <row r="7" customFormat="false" ht="15" hidden="false" customHeight="false" outlineLevel="0" collapsed="false">
      <c r="A7" s="13" t="s">
        <v>79</v>
      </c>
      <c r="B7" s="13" t="s">
        <v>307</v>
      </c>
      <c r="C7" s="11" t="n">
        <f aca="false">1*Parameters!$B$9</f>
        <v>0.1</v>
      </c>
      <c r="D7" s="11" t="n">
        <f aca="false">MAX(0.05,MIN(0.99,Inputs!C5+C7))</f>
        <v>0.85</v>
      </c>
      <c r="E7" s="11" t="n">
        <f aca="false">MAX(0.05,MIN(0.99,Inputs!D5+C7))</f>
        <v>0.6</v>
      </c>
      <c r="F7" s="11" t="n">
        <f aca="false">MAX(0.05,MIN(0.99,Inputs!E5+C7))</f>
        <v>0.8</v>
      </c>
      <c r="G7" s="11" t="n">
        <f aca="false">MAX(0.05,MIN(0.99,Inputs!F5+C7))</f>
        <v>0.99</v>
      </c>
      <c r="H7" s="11" t="n">
        <f aca="false">MAX(0.05,MIN(0.99,Inputs!G5-C7))</f>
        <v>0.25</v>
      </c>
      <c r="I7" s="7" t="n">
        <f aca="false">Inputs!H5</f>
        <v>0.95</v>
      </c>
      <c r="J7" s="8" t="n">
        <f aca="false">Inputs!J5</f>
        <v>9.3</v>
      </c>
      <c r="K7" s="11" t="n">
        <f aca="false">MAX(0.05,MIN(0.99,Inputs!K5-C7))</f>
        <v>0.65</v>
      </c>
      <c r="L7" s="11" t="n">
        <f aca="false">MAX(0.05,MIN(0.99,Inputs!L5-C7))</f>
        <v>0.65</v>
      </c>
      <c r="M7" s="10" t="n">
        <f aca="false">D7*E7*J7*((F7+G7)/2)*I7/H7*Parameters!$B$5</f>
        <v>16130.943</v>
      </c>
      <c r="N7" s="10" t="n">
        <f aca="false">D7*E7*J7*Parameters!$B$4*I7/H7*Parameters!$B$5</f>
        <v>5407.02</v>
      </c>
      <c r="O7" s="10" t="n">
        <f aca="false">M7-M7*K7*L7</f>
        <v>9315.6195825</v>
      </c>
      <c r="P7" s="11" t="n">
        <f aca="false">O7/N7</f>
        <v>1.722875</v>
      </c>
      <c r="Q7" s="13" t="str">
        <f aca="false">IF(P7&lt;Parameters!$B$6,"Below tolerance",IF(P7&lt;=Parameters!$B$7,"Approximately at tolerance","Above tolerance"))</f>
        <v>Above tolerance</v>
      </c>
    </row>
    <row r="8" customFormat="false" ht="15" hidden="false" customHeight="false" outlineLevel="0" collapsed="false">
      <c r="A8" s="13" t="s">
        <v>97</v>
      </c>
      <c r="B8" s="13" t="s">
        <v>305</v>
      </c>
      <c r="C8" s="11" t="n">
        <f aca="false">-1*Parameters!$B$9</f>
        <v>-0.1</v>
      </c>
      <c r="D8" s="11" t="n">
        <f aca="false">MAX(0.05,MIN(0.99,Inputs!C11+C8))</f>
        <v>0.7</v>
      </c>
      <c r="E8" s="11" t="n">
        <f aca="false">MAX(0.05,MIN(0.99,Inputs!D11+C8))</f>
        <v>0.5</v>
      </c>
      <c r="F8" s="11" t="n">
        <f aca="false">MAX(0.05,MIN(0.99,Inputs!E11+C8))</f>
        <v>0.5</v>
      </c>
      <c r="G8" s="11" t="n">
        <f aca="false">MAX(0.05,MIN(0.99,Inputs!F11+C8))</f>
        <v>0.8</v>
      </c>
      <c r="H8" s="11" t="n">
        <f aca="false">MAX(0.05,MIN(0.99,Inputs!G11-C8))</f>
        <v>0.4</v>
      </c>
      <c r="I8" s="7" t="n">
        <f aca="false">Inputs!H11</f>
        <v>0.85</v>
      </c>
      <c r="J8" s="8" t="n">
        <f aca="false">Inputs!J11</f>
        <v>9.2</v>
      </c>
      <c r="K8" s="11" t="n">
        <f aca="false">MAX(0.05,MIN(0.99,Inputs!K11-C8))</f>
        <v>0.8</v>
      </c>
      <c r="L8" s="11" t="n">
        <f aca="false">MAX(0.05,MIN(0.99,Inputs!L11-C8))</f>
        <v>0.9</v>
      </c>
      <c r="M8" s="10" t="n">
        <f aca="false">D8*E8*J8*((F8+G8)/2)*I8/H8*Parameters!$B$5</f>
        <v>4447.625</v>
      </c>
      <c r="N8" s="10" t="n">
        <f aca="false">D8*E8*J8*Parameters!$B$4*I8/H8*Parameters!$B$5</f>
        <v>2052.75</v>
      </c>
      <c r="O8" s="10" t="n">
        <f aca="false">M8-M8*K8*L8</f>
        <v>1245.335</v>
      </c>
      <c r="P8" s="11" t="n">
        <f aca="false">O8/N8</f>
        <v>0.606666666666667</v>
      </c>
      <c r="Q8" s="13" t="str">
        <f aca="false">IF(P8&lt;Parameters!$B$6,"Below tolerance",IF(P8&lt;=Parameters!$B$7,"Approximately at tolerance","Above tolerance"))</f>
        <v>Below tolerance</v>
      </c>
    </row>
    <row r="9" customFormat="false" ht="15" hidden="false" customHeight="false" outlineLevel="0" collapsed="false">
      <c r="A9" s="13" t="s">
        <v>97</v>
      </c>
      <c r="B9" s="13" t="s">
        <v>306</v>
      </c>
      <c r="C9" s="11" t="n">
        <f aca="false">0*Parameters!$B$9</f>
        <v>0</v>
      </c>
      <c r="D9" s="11" t="n">
        <f aca="false">MAX(0.05,MIN(0.99,Inputs!C11+C9))</f>
        <v>0.8</v>
      </c>
      <c r="E9" s="11" t="n">
        <f aca="false">MAX(0.05,MIN(0.99,Inputs!D11+C9))</f>
        <v>0.6</v>
      </c>
      <c r="F9" s="11" t="n">
        <f aca="false">MAX(0.05,MIN(0.99,Inputs!E11+C9))</f>
        <v>0.6</v>
      </c>
      <c r="G9" s="11" t="n">
        <f aca="false">MAX(0.05,MIN(0.99,Inputs!F11+C9))</f>
        <v>0.9</v>
      </c>
      <c r="H9" s="11" t="n">
        <f aca="false">MAX(0.05,MIN(0.99,Inputs!G11-C9))</f>
        <v>0.3</v>
      </c>
      <c r="I9" s="7" t="n">
        <f aca="false">Inputs!H11</f>
        <v>0.85</v>
      </c>
      <c r="J9" s="8" t="n">
        <f aca="false">Inputs!J11</f>
        <v>9.2</v>
      </c>
      <c r="K9" s="11" t="n">
        <f aca="false">MAX(0.05,MIN(0.99,Inputs!K11-C9))</f>
        <v>0.7</v>
      </c>
      <c r="L9" s="11" t="n">
        <f aca="false">MAX(0.05,MIN(0.99,Inputs!L11-C9))</f>
        <v>0.8</v>
      </c>
      <c r="M9" s="10" t="n">
        <f aca="false">D9*E9*J9*((F9+G9)/2)*I9/H9*Parameters!$B$5</f>
        <v>9384</v>
      </c>
      <c r="N9" s="10" t="n">
        <f aca="false">D9*E9*J9*Parameters!$B$4*I9/H9*Parameters!$B$5</f>
        <v>3753.6</v>
      </c>
      <c r="O9" s="10" t="n">
        <f aca="false">M9-M9*K9*L9</f>
        <v>4128.96</v>
      </c>
      <c r="P9" s="11" t="n">
        <f aca="false">O9/N9</f>
        <v>1.1</v>
      </c>
      <c r="Q9" s="13" t="str">
        <f aca="false">IF(P9&lt;Parameters!$B$6,"Below tolerance",IF(P9&lt;=Parameters!$B$7,"Approximately at tolerance","Above tolerance"))</f>
        <v>Approximately at tolerance</v>
      </c>
    </row>
    <row r="10" customFormat="false" ht="15" hidden="false" customHeight="false" outlineLevel="0" collapsed="false">
      <c r="A10" s="13" t="s">
        <v>97</v>
      </c>
      <c r="B10" s="13" t="s">
        <v>307</v>
      </c>
      <c r="C10" s="11" t="n">
        <f aca="false">1*Parameters!$B$9</f>
        <v>0.1</v>
      </c>
      <c r="D10" s="11" t="n">
        <f aca="false">MAX(0.05,MIN(0.99,Inputs!C11+C10))</f>
        <v>0.9</v>
      </c>
      <c r="E10" s="11" t="n">
        <f aca="false">MAX(0.05,MIN(0.99,Inputs!D11+C10))</f>
        <v>0.7</v>
      </c>
      <c r="F10" s="11" t="n">
        <f aca="false">MAX(0.05,MIN(0.99,Inputs!E11+C10))</f>
        <v>0.7</v>
      </c>
      <c r="G10" s="11" t="n">
        <f aca="false">MAX(0.05,MIN(0.99,Inputs!F11+C10))</f>
        <v>0.99</v>
      </c>
      <c r="H10" s="11" t="n">
        <f aca="false">MAX(0.05,MIN(0.99,Inputs!G11-C10))</f>
        <v>0.2</v>
      </c>
      <c r="I10" s="7" t="n">
        <f aca="false">Inputs!H11</f>
        <v>0.85</v>
      </c>
      <c r="J10" s="8" t="n">
        <f aca="false">Inputs!J11</f>
        <v>9.2</v>
      </c>
      <c r="K10" s="11" t="n">
        <f aca="false">MAX(0.05,MIN(0.99,Inputs!K11-C10))</f>
        <v>0.6</v>
      </c>
      <c r="L10" s="11" t="n">
        <f aca="false">MAX(0.05,MIN(0.99,Inputs!L11-C10))</f>
        <v>0.7</v>
      </c>
      <c r="M10" s="10" t="n">
        <f aca="false">D10*E10*J10*((F10+G10)/2)*I10/H10*Parameters!$B$5</f>
        <v>20814.885</v>
      </c>
      <c r="N10" s="10" t="n">
        <f aca="false">D10*E10*J10*Parameters!$B$4*I10/H10*Parameters!$B$5</f>
        <v>7389.9</v>
      </c>
      <c r="O10" s="10" t="n">
        <f aca="false">M10-M10*K10*L10</f>
        <v>12072.6333</v>
      </c>
      <c r="P10" s="11" t="n">
        <f aca="false">O10/N10</f>
        <v>1.63366666666667</v>
      </c>
      <c r="Q10" s="13" t="str">
        <f aca="false">IF(P10&lt;Parameters!$B$6,"Below tolerance",IF(P10&lt;=Parameters!$B$7,"Approximately at tolerance","Above tolerance"))</f>
        <v>Above tolerance</v>
      </c>
    </row>
    <row r="11" customFormat="false" ht="15" hidden="false" customHeight="false" outlineLevel="0" collapsed="false">
      <c r="A11" s="13" t="s">
        <v>73</v>
      </c>
      <c r="B11" s="13" t="s">
        <v>305</v>
      </c>
      <c r="C11" s="11" t="n">
        <f aca="false">-1*Parameters!$B$9</f>
        <v>-0.1</v>
      </c>
      <c r="D11" s="11" t="n">
        <f aca="false">MAX(0.05,MIN(0.99,Inputs!C4+C11))</f>
        <v>0.75</v>
      </c>
      <c r="E11" s="11" t="n">
        <f aca="false">MAX(0.05,MIN(0.99,Inputs!D4+C11))</f>
        <v>0.45</v>
      </c>
      <c r="F11" s="11" t="n">
        <f aca="false">MAX(0.05,MIN(0.99,Inputs!E4+C11))</f>
        <v>0.45</v>
      </c>
      <c r="G11" s="11" t="n">
        <f aca="false">MAX(0.05,MIN(0.99,Inputs!F4+C11))</f>
        <v>0.75</v>
      </c>
      <c r="H11" s="11" t="n">
        <f aca="false">MAX(0.05,MIN(0.99,Inputs!G4-C11))</f>
        <v>0.5</v>
      </c>
      <c r="I11" s="7" t="n">
        <f aca="false">Inputs!H4</f>
        <v>0.85</v>
      </c>
      <c r="J11" s="8" t="n">
        <f aca="false">Inputs!J4</f>
        <v>9.3</v>
      </c>
      <c r="K11" s="11" t="n">
        <f aca="false">MAX(0.05,MIN(0.99,Inputs!K4-C11))</f>
        <v>0.9</v>
      </c>
      <c r="L11" s="11" t="n">
        <f aca="false">MAX(0.05,MIN(0.99,Inputs!L4-C11))</f>
        <v>0.85</v>
      </c>
      <c r="M11" s="10" t="n">
        <f aca="false">D11*E11*J11*((F11+G11)/2)*I11/H11*Parameters!$B$5</f>
        <v>3201.525</v>
      </c>
      <c r="N11" s="10" t="n">
        <f aca="false">D11*E11*J11*Parameters!$B$4*I11/H11*Parameters!$B$5</f>
        <v>1600.7625</v>
      </c>
      <c r="O11" s="10" t="n">
        <f aca="false">M11-M11*K11*L11</f>
        <v>752.358375</v>
      </c>
      <c r="P11" s="11" t="n">
        <f aca="false">O11/N11</f>
        <v>0.47</v>
      </c>
      <c r="Q11" s="13" t="str">
        <f aca="false">IF(P11&lt;Parameters!$B$6,"Below tolerance",IF(P11&lt;=Parameters!$B$7,"Approximately at tolerance","Above tolerance"))</f>
        <v>Below tolerance</v>
      </c>
    </row>
    <row r="12" customFormat="false" ht="15" hidden="false" customHeight="false" outlineLevel="0" collapsed="false">
      <c r="A12" s="13" t="s">
        <v>73</v>
      </c>
      <c r="B12" s="13" t="s">
        <v>306</v>
      </c>
      <c r="C12" s="11" t="n">
        <f aca="false">0*Parameters!$B$9</f>
        <v>0</v>
      </c>
      <c r="D12" s="11" t="n">
        <f aca="false">MAX(0.05,MIN(0.99,Inputs!C4+C12))</f>
        <v>0.85</v>
      </c>
      <c r="E12" s="11" t="n">
        <f aca="false">MAX(0.05,MIN(0.99,Inputs!D4+C12))</f>
        <v>0.55</v>
      </c>
      <c r="F12" s="11" t="n">
        <f aca="false">MAX(0.05,MIN(0.99,Inputs!E4+C12))</f>
        <v>0.55</v>
      </c>
      <c r="G12" s="11" t="n">
        <f aca="false">MAX(0.05,MIN(0.99,Inputs!F4+C12))</f>
        <v>0.85</v>
      </c>
      <c r="H12" s="11" t="n">
        <f aca="false">MAX(0.05,MIN(0.99,Inputs!G4-C12))</f>
        <v>0.4</v>
      </c>
      <c r="I12" s="7" t="n">
        <f aca="false">Inputs!H4</f>
        <v>0.85</v>
      </c>
      <c r="J12" s="8" t="n">
        <f aca="false">Inputs!J4</f>
        <v>9.3</v>
      </c>
      <c r="K12" s="11" t="n">
        <f aca="false">MAX(0.05,MIN(0.99,Inputs!K4-C12))</f>
        <v>0.8</v>
      </c>
      <c r="L12" s="11" t="n">
        <f aca="false">MAX(0.05,MIN(0.99,Inputs!L4-C12))</f>
        <v>0.75</v>
      </c>
      <c r="M12" s="10" t="n">
        <f aca="false">D12*E12*J12*((F12+G12)/2)*I12/H12*Parameters!$B$5</f>
        <v>6467.278125</v>
      </c>
      <c r="N12" s="10" t="n">
        <f aca="false">D12*E12*J12*Parameters!$B$4*I12/H12*Parameters!$B$5</f>
        <v>2771.690625</v>
      </c>
      <c r="O12" s="10" t="n">
        <f aca="false">M12-M12*K12*L12</f>
        <v>2586.91125</v>
      </c>
      <c r="P12" s="11" t="n">
        <f aca="false">O12/N12</f>
        <v>0.933333333333333</v>
      </c>
      <c r="Q12" s="13" t="str">
        <f aca="false">IF(P12&lt;Parameters!$B$6,"Below tolerance",IF(P12&lt;=Parameters!$B$7,"Approximately at tolerance","Above tolerance"))</f>
        <v>Approximately at tolerance</v>
      </c>
    </row>
    <row r="13" customFormat="false" ht="15" hidden="false" customHeight="false" outlineLevel="0" collapsed="false">
      <c r="A13" s="13" t="s">
        <v>73</v>
      </c>
      <c r="B13" s="13" t="s">
        <v>307</v>
      </c>
      <c r="C13" s="11" t="n">
        <f aca="false">1*Parameters!$B$9</f>
        <v>0.1</v>
      </c>
      <c r="D13" s="11" t="n">
        <f aca="false">MAX(0.05,MIN(0.99,Inputs!C4+C13))</f>
        <v>0.95</v>
      </c>
      <c r="E13" s="11" t="n">
        <f aca="false">MAX(0.05,MIN(0.99,Inputs!D4+C13))</f>
        <v>0.65</v>
      </c>
      <c r="F13" s="11" t="n">
        <f aca="false">MAX(0.05,MIN(0.99,Inputs!E4+C13))</f>
        <v>0.65</v>
      </c>
      <c r="G13" s="11" t="n">
        <f aca="false">MAX(0.05,MIN(0.99,Inputs!F4+C13))</f>
        <v>0.95</v>
      </c>
      <c r="H13" s="11" t="n">
        <f aca="false">MAX(0.05,MIN(0.99,Inputs!G4-C13))</f>
        <v>0.3</v>
      </c>
      <c r="I13" s="7" t="n">
        <f aca="false">Inputs!H4</f>
        <v>0.85</v>
      </c>
      <c r="J13" s="8" t="n">
        <f aca="false">Inputs!J4</f>
        <v>9.3</v>
      </c>
      <c r="K13" s="11" t="n">
        <f aca="false">MAX(0.05,MIN(0.99,Inputs!K4-C13))</f>
        <v>0.7</v>
      </c>
      <c r="L13" s="11" t="n">
        <f aca="false">MAX(0.05,MIN(0.99,Inputs!L4-C13))</f>
        <v>0.65</v>
      </c>
      <c r="M13" s="10" t="n">
        <f aca="false">D13*E13*J13*((F13+G13)/2)*I13/H13*Parameters!$B$5</f>
        <v>13016.9</v>
      </c>
      <c r="N13" s="10" t="n">
        <f aca="false">D13*E13*J13*Parameters!$B$4*I13/H13*Parameters!$B$5</f>
        <v>4881.3375</v>
      </c>
      <c r="O13" s="10" t="n">
        <f aca="false">M13-M13*K13*L13</f>
        <v>7094.2105</v>
      </c>
      <c r="P13" s="11" t="n">
        <f aca="false">O13/N13</f>
        <v>1.45333333333333</v>
      </c>
      <c r="Q13" s="13" t="str">
        <f aca="false">IF(P13&lt;Parameters!$B$6,"Below tolerance",IF(P13&lt;=Parameters!$B$7,"Approximately at tolerance","Above tolerance"))</f>
        <v>Above tolerance</v>
      </c>
    </row>
    <row r="14" customFormat="false" ht="15" hidden="false" customHeight="false" outlineLevel="0" collapsed="false">
      <c r="A14" s="13" t="s">
        <v>94</v>
      </c>
      <c r="B14" s="13" t="s">
        <v>305</v>
      </c>
      <c r="C14" s="11" t="n">
        <f aca="false">-1*Parameters!$B$9</f>
        <v>-0.1</v>
      </c>
      <c r="D14" s="11" t="n">
        <f aca="false">MAX(0.05,MIN(0.99,Inputs!C10+C14))</f>
        <v>0.35</v>
      </c>
      <c r="E14" s="11" t="n">
        <f aca="false">MAX(0.05,MIN(0.99,Inputs!D10+C14))</f>
        <v>0.4</v>
      </c>
      <c r="F14" s="11" t="n">
        <f aca="false">MAX(0.05,MIN(0.99,Inputs!E10+C14))</f>
        <v>0.45</v>
      </c>
      <c r="G14" s="11" t="n">
        <f aca="false">MAX(0.05,MIN(0.99,Inputs!F10+C14))</f>
        <v>0.85</v>
      </c>
      <c r="H14" s="11" t="n">
        <f aca="false">MAX(0.05,MIN(0.99,Inputs!G10-C14))</f>
        <v>0.45</v>
      </c>
      <c r="I14" s="7" t="n">
        <f aca="false">Inputs!H10</f>
        <v>0.9</v>
      </c>
      <c r="J14" s="8" t="n">
        <f aca="false">Inputs!J10</f>
        <v>8.7</v>
      </c>
      <c r="K14" s="11" t="n">
        <f aca="false">MAX(0.05,MIN(0.99,Inputs!K10-C14))</f>
        <v>0.8</v>
      </c>
      <c r="L14" s="11" t="n">
        <f aca="false">MAX(0.05,MIN(0.99,Inputs!L10-C14))</f>
        <v>0.7</v>
      </c>
      <c r="M14" s="10" t="n">
        <f aca="false">D14*E14*J14*((F14+G14)/2)*I14/H14*Parameters!$B$5</f>
        <v>1583.4</v>
      </c>
      <c r="N14" s="10" t="n">
        <f aca="false">D14*E14*J14*Parameters!$B$4*I14/H14*Parameters!$B$5</f>
        <v>730.8</v>
      </c>
      <c r="O14" s="10" t="n">
        <f aca="false">M14-M14*K14*L14</f>
        <v>696.696</v>
      </c>
      <c r="P14" s="11" t="n">
        <f aca="false">O14/N14</f>
        <v>0.953333333333334</v>
      </c>
      <c r="Q14" s="13" t="str">
        <f aca="false">IF(P14&lt;Parameters!$B$6,"Below tolerance",IF(P14&lt;=Parameters!$B$7,"Approximately at tolerance","Above tolerance"))</f>
        <v>Approximately at tolerance</v>
      </c>
    </row>
    <row r="15" customFormat="false" ht="15" hidden="false" customHeight="false" outlineLevel="0" collapsed="false">
      <c r="A15" s="13" t="s">
        <v>94</v>
      </c>
      <c r="B15" s="13" t="s">
        <v>306</v>
      </c>
      <c r="C15" s="11" t="n">
        <f aca="false">0*Parameters!$B$9</f>
        <v>0</v>
      </c>
      <c r="D15" s="11" t="n">
        <f aca="false">MAX(0.05,MIN(0.99,Inputs!C10+C15))</f>
        <v>0.45</v>
      </c>
      <c r="E15" s="11" t="n">
        <f aca="false">MAX(0.05,MIN(0.99,Inputs!D10+C15))</f>
        <v>0.5</v>
      </c>
      <c r="F15" s="11" t="n">
        <f aca="false">MAX(0.05,MIN(0.99,Inputs!E10+C15))</f>
        <v>0.55</v>
      </c>
      <c r="G15" s="11" t="n">
        <f aca="false">MAX(0.05,MIN(0.99,Inputs!F10+C15))</f>
        <v>0.95</v>
      </c>
      <c r="H15" s="11" t="n">
        <f aca="false">MAX(0.05,MIN(0.99,Inputs!G10-C15))</f>
        <v>0.35</v>
      </c>
      <c r="I15" s="7" t="n">
        <f aca="false">Inputs!H10</f>
        <v>0.9</v>
      </c>
      <c r="J15" s="8" t="n">
        <f aca="false">Inputs!J10</f>
        <v>8.7</v>
      </c>
      <c r="K15" s="11" t="n">
        <f aca="false">MAX(0.05,MIN(0.99,Inputs!K10-C15))</f>
        <v>0.7</v>
      </c>
      <c r="L15" s="11" t="n">
        <f aca="false">MAX(0.05,MIN(0.99,Inputs!L10-C15))</f>
        <v>0.6</v>
      </c>
      <c r="M15" s="10" t="n">
        <f aca="false">D15*E15*J15*((F15+G15)/2)*I15/H15*Parameters!$B$5</f>
        <v>3775.17857142857</v>
      </c>
      <c r="N15" s="10" t="n">
        <f aca="false">D15*E15*J15*Parameters!$B$4*I15/H15*Parameters!$B$5</f>
        <v>1510.07142857143</v>
      </c>
      <c r="O15" s="10" t="n">
        <f aca="false">M15-M15*K15*L15</f>
        <v>2189.60357142857</v>
      </c>
      <c r="P15" s="11" t="n">
        <f aca="false">O15/N15</f>
        <v>1.45</v>
      </c>
      <c r="Q15" s="13" t="str">
        <f aca="false">IF(P15&lt;Parameters!$B$6,"Below tolerance",IF(P15&lt;=Parameters!$B$7,"Approximately at tolerance","Above tolerance"))</f>
        <v>Above tolerance</v>
      </c>
    </row>
    <row r="16" customFormat="false" ht="15" hidden="false" customHeight="false" outlineLevel="0" collapsed="false">
      <c r="A16" s="13" t="s">
        <v>94</v>
      </c>
      <c r="B16" s="13" t="s">
        <v>307</v>
      </c>
      <c r="C16" s="11" t="n">
        <f aca="false">1*Parameters!$B$9</f>
        <v>0.1</v>
      </c>
      <c r="D16" s="11" t="n">
        <f aca="false">MAX(0.05,MIN(0.99,Inputs!C10+C16))</f>
        <v>0.55</v>
      </c>
      <c r="E16" s="11" t="n">
        <f aca="false">MAX(0.05,MIN(0.99,Inputs!D10+C16))</f>
        <v>0.6</v>
      </c>
      <c r="F16" s="11" t="n">
        <f aca="false">MAX(0.05,MIN(0.99,Inputs!E10+C16))</f>
        <v>0.65</v>
      </c>
      <c r="G16" s="11" t="n">
        <f aca="false">MAX(0.05,MIN(0.99,Inputs!F10+C16))</f>
        <v>0.99</v>
      </c>
      <c r="H16" s="11" t="n">
        <f aca="false">MAX(0.05,MIN(0.99,Inputs!G10-C16))</f>
        <v>0.25</v>
      </c>
      <c r="I16" s="7" t="n">
        <f aca="false">Inputs!H10</f>
        <v>0.9</v>
      </c>
      <c r="J16" s="8" t="n">
        <f aca="false">Inputs!J10</f>
        <v>8.7</v>
      </c>
      <c r="K16" s="11" t="n">
        <f aca="false">MAX(0.05,MIN(0.99,Inputs!K10-C16))</f>
        <v>0.6</v>
      </c>
      <c r="L16" s="11" t="n">
        <f aca="false">MAX(0.05,MIN(0.99,Inputs!L10-C16))</f>
        <v>0.5</v>
      </c>
      <c r="M16" s="10" t="n">
        <f aca="false">D16*E16*J16*((F16+G16)/2)*I16/H16*Parameters!$B$5</f>
        <v>8475.192</v>
      </c>
      <c r="N16" s="10" t="n">
        <f aca="false">D16*E16*J16*Parameters!$B$4*I16/H16*Parameters!$B$5</f>
        <v>3100.68</v>
      </c>
      <c r="O16" s="10" t="n">
        <f aca="false">M16-M16*K16*L16</f>
        <v>5932.6344</v>
      </c>
      <c r="P16" s="11" t="n">
        <f aca="false">O16/N16</f>
        <v>1.91333333333333</v>
      </c>
      <c r="Q16" s="13" t="str">
        <f aca="false">IF(P16&lt;Parameters!$B$6,"Below tolerance",IF(P16&lt;=Parameters!$B$7,"Approximately at tolerance","Above tolerance"))</f>
        <v>Above tolerance</v>
      </c>
    </row>
    <row r="17" customFormat="false" ht="15" hidden="false" customHeight="false" outlineLevel="0" collapsed="false">
      <c r="A17" s="13" t="s">
        <v>100</v>
      </c>
      <c r="B17" s="13" t="s">
        <v>305</v>
      </c>
      <c r="C17" s="11" t="n">
        <f aca="false">-1*Parameters!$B$9</f>
        <v>-0.1</v>
      </c>
      <c r="D17" s="11" t="n">
        <f aca="false">MAX(0.05,MIN(0.99,Inputs!C12+C17))</f>
        <v>0.45</v>
      </c>
      <c r="E17" s="11" t="n">
        <f aca="false">MAX(0.05,MIN(0.99,Inputs!D12+C17))</f>
        <v>0.35</v>
      </c>
      <c r="F17" s="11" t="n">
        <f aca="false">MAX(0.05,MIN(0.99,Inputs!E12+C17))</f>
        <v>0.5</v>
      </c>
      <c r="G17" s="11" t="n">
        <f aca="false">MAX(0.05,MIN(0.99,Inputs!F12+C17))</f>
        <v>0.8</v>
      </c>
      <c r="H17" s="11" t="n">
        <f aca="false">MAX(0.05,MIN(0.99,Inputs!G12-C17))</f>
        <v>0.45</v>
      </c>
      <c r="I17" s="7" t="n">
        <f aca="false">Inputs!H12</f>
        <v>0.85</v>
      </c>
      <c r="J17" s="8" t="n">
        <f aca="false">Inputs!J12</f>
        <v>9</v>
      </c>
      <c r="K17" s="11" t="n">
        <f aca="false">MAX(0.05,MIN(0.99,Inputs!K12-C17))</f>
        <v>0.65</v>
      </c>
      <c r="L17" s="11" t="n">
        <f aca="false">MAX(0.05,MIN(0.99,Inputs!L12-C17))</f>
        <v>0.8</v>
      </c>
      <c r="M17" s="10" t="n">
        <f aca="false">D17*E17*J17*((F17+G17)/2)*I17/H17*Parameters!$B$5</f>
        <v>1740.375</v>
      </c>
      <c r="N17" s="10" t="n">
        <f aca="false">D17*E17*J17*Parameters!$B$4*I17/H17*Parameters!$B$5</f>
        <v>803.25</v>
      </c>
      <c r="O17" s="10" t="n">
        <f aca="false">M17-M17*K17*L17</f>
        <v>835.38</v>
      </c>
      <c r="P17" s="11" t="n">
        <f aca="false">O17/N17</f>
        <v>1.04</v>
      </c>
      <c r="Q17" s="13" t="str">
        <f aca="false">IF(P17&lt;Parameters!$B$6,"Below tolerance",IF(P17&lt;=Parameters!$B$7,"Approximately at tolerance","Above tolerance"))</f>
        <v>Approximately at tolerance</v>
      </c>
    </row>
    <row r="18" customFormat="false" ht="15" hidden="false" customHeight="false" outlineLevel="0" collapsed="false">
      <c r="A18" s="13" t="s">
        <v>100</v>
      </c>
      <c r="B18" s="13" t="s">
        <v>306</v>
      </c>
      <c r="C18" s="11" t="n">
        <f aca="false">0*Parameters!$B$9</f>
        <v>0</v>
      </c>
      <c r="D18" s="11" t="n">
        <f aca="false">MAX(0.05,MIN(0.99,Inputs!C12+C18))</f>
        <v>0.55</v>
      </c>
      <c r="E18" s="11" t="n">
        <f aca="false">MAX(0.05,MIN(0.99,Inputs!D12+C18))</f>
        <v>0.45</v>
      </c>
      <c r="F18" s="11" t="n">
        <f aca="false">MAX(0.05,MIN(0.99,Inputs!E12+C18))</f>
        <v>0.6</v>
      </c>
      <c r="G18" s="11" t="n">
        <f aca="false">MAX(0.05,MIN(0.99,Inputs!F12+C18))</f>
        <v>0.9</v>
      </c>
      <c r="H18" s="11" t="n">
        <f aca="false">MAX(0.05,MIN(0.99,Inputs!G12-C18))</f>
        <v>0.35</v>
      </c>
      <c r="I18" s="7" t="n">
        <f aca="false">Inputs!H12</f>
        <v>0.85</v>
      </c>
      <c r="J18" s="8" t="n">
        <f aca="false">Inputs!J12</f>
        <v>9</v>
      </c>
      <c r="K18" s="11" t="n">
        <f aca="false">MAX(0.05,MIN(0.99,Inputs!K12-C18))</f>
        <v>0.55</v>
      </c>
      <c r="L18" s="11" t="n">
        <f aca="false">MAX(0.05,MIN(0.99,Inputs!L12-C18))</f>
        <v>0.7</v>
      </c>
      <c r="M18" s="10" t="n">
        <f aca="false">D18*E18*J18*((F18+G18)/2)*I18/H18*Parameters!$B$5</f>
        <v>4057.23214285714</v>
      </c>
      <c r="N18" s="10" t="n">
        <f aca="false">D18*E18*J18*Parameters!$B$4*I18/H18*Parameters!$B$5</f>
        <v>1622.89285714286</v>
      </c>
      <c r="O18" s="10" t="n">
        <f aca="false">M18-M18*K18*L18</f>
        <v>2495.19776785714</v>
      </c>
      <c r="P18" s="11" t="n">
        <f aca="false">O18/N18</f>
        <v>1.5375</v>
      </c>
      <c r="Q18" s="13" t="str">
        <f aca="false">IF(P18&lt;Parameters!$B$6,"Below tolerance",IF(P18&lt;=Parameters!$B$7,"Approximately at tolerance","Above tolerance"))</f>
        <v>Above tolerance</v>
      </c>
    </row>
    <row r="19" customFormat="false" ht="15" hidden="false" customHeight="false" outlineLevel="0" collapsed="false">
      <c r="A19" s="13" t="s">
        <v>100</v>
      </c>
      <c r="B19" s="13" t="s">
        <v>307</v>
      </c>
      <c r="C19" s="11" t="n">
        <f aca="false">1*Parameters!$B$9</f>
        <v>0.1</v>
      </c>
      <c r="D19" s="11" t="n">
        <f aca="false">MAX(0.05,MIN(0.99,Inputs!C12+C19))</f>
        <v>0.65</v>
      </c>
      <c r="E19" s="11" t="n">
        <f aca="false">MAX(0.05,MIN(0.99,Inputs!D12+C19))</f>
        <v>0.55</v>
      </c>
      <c r="F19" s="11" t="n">
        <f aca="false">MAX(0.05,MIN(0.99,Inputs!E12+C19))</f>
        <v>0.7</v>
      </c>
      <c r="G19" s="11" t="n">
        <f aca="false">MAX(0.05,MIN(0.99,Inputs!F12+C19))</f>
        <v>0.99</v>
      </c>
      <c r="H19" s="11" t="n">
        <f aca="false">MAX(0.05,MIN(0.99,Inputs!G12-C19))</f>
        <v>0.25</v>
      </c>
      <c r="I19" s="7" t="n">
        <f aca="false">Inputs!H12</f>
        <v>0.85</v>
      </c>
      <c r="J19" s="8" t="n">
        <f aca="false">Inputs!J12</f>
        <v>9</v>
      </c>
      <c r="K19" s="11" t="n">
        <f aca="false">MAX(0.05,MIN(0.99,Inputs!K12-C19))</f>
        <v>0.45</v>
      </c>
      <c r="L19" s="11" t="n">
        <f aca="false">MAX(0.05,MIN(0.99,Inputs!L12-C19))</f>
        <v>0.6</v>
      </c>
      <c r="M19" s="10" t="n">
        <f aca="false">D19*E19*J19*((F19+G19)/2)*I19/H19*Parameters!$B$5</f>
        <v>9243.8775</v>
      </c>
      <c r="N19" s="10" t="n">
        <f aca="false">D19*E19*J19*Parameters!$B$4*I19/H19*Parameters!$B$5</f>
        <v>3281.85</v>
      </c>
      <c r="O19" s="10" t="n">
        <f aca="false">M19-M19*K19*L19</f>
        <v>6748.030575</v>
      </c>
      <c r="P19" s="11" t="n">
        <f aca="false">O19/N19</f>
        <v>2.05616666666667</v>
      </c>
      <c r="Q19" s="13" t="str">
        <f aca="false">IF(P19&lt;Parameters!$B$6,"Below tolerance",IF(P19&lt;=Parameters!$B$7,"Approximately at tolerance","Above tolerance"))</f>
        <v>Above tolerance</v>
      </c>
    </row>
    <row r="20" customFormat="false" ht="15" hidden="false" customHeight="false" outlineLevel="0" collapsed="false">
      <c r="A20" s="13" t="s">
        <v>121</v>
      </c>
      <c r="B20" s="13" t="s">
        <v>305</v>
      </c>
      <c r="C20" s="11" t="n">
        <f aca="false">-1*Parameters!$B$9</f>
        <v>-0.1</v>
      </c>
      <c r="D20" s="11" t="n">
        <f aca="false">MAX(0.05,MIN(0.99,Inputs!C19+C20))</f>
        <v>0.25</v>
      </c>
      <c r="E20" s="11" t="n">
        <f aca="false">MAX(0.05,MIN(0.99,Inputs!D19+C20))</f>
        <v>0.4</v>
      </c>
      <c r="F20" s="11" t="n">
        <f aca="false">MAX(0.05,MIN(0.99,Inputs!E19+C20))</f>
        <v>0.45</v>
      </c>
      <c r="G20" s="11" t="n">
        <f aca="false">MAX(0.05,MIN(0.99,Inputs!F19+C20))</f>
        <v>0.75</v>
      </c>
      <c r="H20" s="11" t="n">
        <f aca="false">MAX(0.05,MIN(0.99,Inputs!G19-C20))</f>
        <v>0.45</v>
      </c>
      <c r="I20" s="7" t="n">
        <f aca="false">Inputs!H19</f>
        <v>0.95</v>
      </c>
      <c r="J20" s="8" t="n">
        <f aca="false">Inputs!J19</f>
        <v>8.9</v>
      </c>
      <c r="K20" s="11" t="n">
        <f aca="false">MAX(0.05,MIN(0.99,Inputs!K19-C20))</f>
        <v>0.8</v>
      </c>
      <c r="L20" s="11" t="n">
        <f aca="false">MAX(0.05,MIN(0.99,Inputs!L19-C20))</f>
        <v>0.75</v>
      </c>
      <c r="M20" s="10" t="n">
        <f aca="false">D20*E20*J20*((F20+G20)/2)*I20/H20*Parameters!$B$5</f>
        <v>1127.33333333333</v>
      </c>
      <c r="N20" s="10" t="n">
        <f aca="false">D20*E20*J20*Parameters!$B$4*I20/H20*Parameters!$B$5</f>
        <v>563.666666666667</v>
      </c>
      <c r="O20" s="10" t="n">
        <f aca="false">M20-M20*K20*L20</f>
        <v>450.933333333334</v>
      </c>
      <c r="P20" s="11" t="n">
        <f aca="false">O20/N20</f>
        <v>0.8</v>
      </c>
      <c r="Q20" s="13" t="str">
        <f aca="false">IF(P20&lt;Parameters!$B$6,"Below tolerance",IF(P20&lt;=Parameters!$B$7,"Approximately at tolerance","Above tolerance"))</f>
        <v>Below tolerance</v>
      </c>
    </row>
    <row r="21" customFormat="false" ht="15" hidden="false" customHeight="false" outlineLevel="0" collapsed="false">
      <c r="A21" s="13" t="s">
        <v>121</v>
      </c>
      <c r="B21" s="13" t="s">
        <v>306</v>
      </c>
      <c r="C21" s="11" t="n">
        <f aca="false">0*Parameters!$B$9</f>
        <v>0</v>
      </c>
      <c r="D21" s="11" t="n">
        <f aca="false">MAX(0.05,MIN(0.99,Inputs!C19+C21))</f>
        <v>0.35</v>
      </c>
      <c r="E21" s="11" t="n">
        <f aca="false">MAX(0.05,MIN(0.99,Inputs!D19+C21))</f>
        <v>0.5</v>
      </c>
      <c r="F21" s="11" t="n">
        <f aca="false">MAX(0.05,MIN(0.99,Inputs!E19+C21))</f>
        <v>0.55</v>
      </c>
      <c r="G21" s="11" t="n">
        <f aca="false">MAX(0.05,MIN(0.99,Inputs!F19+C21))</f>
        <v>0.85</v>
      </c>
      <c r="H21" s="11" t="n">
        <f aca="false">MAX(0.05,MIN(0.99,Inputs!G19-C21))</f>
        <v>0.35</v>
      </c>
      <c r="I21" s="7" t="n">
        <f aca="false">Inputs!H19</f>
        <v>0.95</v>
      </c>
      <c r="J21" s="8" t="n">
        <f aca="false">Inputs!J19</f>
        <v>8.9</v>
      </c>
      <c r="K21" s="11" t="n">
        <f aca="false">MAX(0.05,MIN(0.99,Inputs!K19-C21))</f>
        <v>0.7</v>
      </c>
      <c r="L21" s="11" t="n">
        <f aca="false">MAX(0.05,MIN(0.99,Inputs!L19-C21))</f>
        <v>0.65</v>
      </c>
      <c r="M21" s="10" t="n">
        <f aca="false">D21*E21*J21*((F21+G21)/2)*I21/H21*Parameters!$B$5</f>
        <v>2959.25</v>
      </c>
      <c r="N21" s="10" t="n">
        <f aca="false">D21*E21*J21*Parameters!$B$4*I21/H21*Parameters!$B$5</f>
        <v>1268.25</v>
      </c>
      <c r="O21" s="10" t="n">
        <f aca="false">M21-M21*K21*L21</f>
        <v>1612.79125</v>
      </c>
      <c r="P21" s="11" t="n">
        <f aca="false">O21/N21</f>
        <v>1.27166666666667</v>
      </c>
      <c r="Q21" s="13" t="str">
        <f aca="false">IF(P21&lt;Parameters!$B$6,"Below tolerance",IF(P21&lt;=Parameters!$B$7,"Approximately at tolerance","Above tolerance"))</f>
        <v>Above tolerance</v>
      </c>
    </row>
    <row r="22" customFormat="false" ht="15" hidden="false" customHeight="false" outlineLevel="0" collapsed="false">
      <c r="A22" s="13" t="s">
        <v>121</v>
      </c>
      <c r="B22" s="13" t="s">
        <v>307</v>
      </c>
      <c r="C22" s="11" t="n">
        <f aca="false">1*Parameters!$B$9</f>
        <v>0.1</v>
      </c>
      <c r="D22" s="11" t="n">
        <f aca="false">MAX(0.05,MIN(0.99,Inputs!C19+C22))</f>
        <v>0.45</v>
      </c>
      <c r="E22" s="11" t="n">
        <f aca="false">MAX(0.05,MIN(0.99,Inputs!D19+C22))</f>
        <v>0.6</v>
      </c>
      <c r="F22" s="11" t="n">
        <f aca="false">MAX(0.05,MIN(0.99,Inputs!E19+C22))</f>
        <v>0.65</v>
      </c>
      <c r="G22" s="11" t="n">
        <f aca="false">MAX(0.05,MIN(0.99,Inputs!F19+C22))</f>
        <v>0.95</v>
      </c>
      <c r="H22" s="11" t="n">
        <f aca="false">MAX(0.05,MIN(0.99,Inputs!G19-C22))</f>
        <v>0.25</v>
      </c>
      <c r="I22" s="7" t="n">
        <f aca="false">Inputs!H19</f>
        <v>0.95</v>
      </c>
      <c r="J22" s="8" t="n">
        <f aca="false">Inputs!J19</f>
        <v>8.9</v>
      </c>
      <c r="K22" s="11" t="n">
        <f aca="false">MAX(0.05,MIN(0.99,Inputs!K19-C22))</f>
        <v>0.6</v>
      </c>
      <c r="L22" s="11" t="n">
        <f aca="false">MAX(0.05,MIN(0.99,Inputs!L19-C22))</f>
        <v>0.55</v>
      </c>
      <c r="M22" s="10" t="n">
        <f aca="false">D22*E22*J22*((F22+G22)/2)*I22/H22*Parameters!$B$5</f>
        <v>7305.12</v>
      </c>
      <c r="N22" s="10" t="n">
        <f aca="false">D22*E22*J22*Parameters!$B$4*I22/H22*Parameters!$B$5</f>
        <v>2739.42</v>
      </c>
      <c r="O22" s="10" t="n">
        <f aca="false">M22-M22*K22*L22</f>
        <v>4894.4304</v>
      </c>
      <c r="P22" s="11" t="n">
        <f aca="false">O22/N22</f>
        <v>1.78666666666667</v>
      </c>
      <c r="Q22" s="13" t="str">
        <f aca="false">IF(P22&lt;Parameters!$B$6,"Below tolerance",IF(P22&lt;=Parameters!$B$7,"Approximately at tolerance","Above tolerance"))</f>
        <v>Above tolerance</v>
      </c>
    </row>
    <row r="23" customFormat="false" ht="15" hidden="false" customHeight="false" outlineLevel="0" collapsed="false">
      <c r="A23" s="13" t="s">
        <v>129</v>
      </c>
      <c r="B23" s="13" t="s">
        <v>305</v>
      </c>
      <c r="C23" s="11" t="n">
        <f aca="false">-1*Parameters!$B$9</f>
        <v>-0.1</v>
      </c>
      <c r="D23" s="11" t="n">
        <f aca="false">MAX(0.05,MIN(0.99,Inputs!C22+C23))</f>
        <v>0.15</v>
      </c>
      <c r="E23" s="11" t="n">
        <f aca="false">MAX(0.05,MIN(0.99,Inputs!D22+C23))</f>
        <v>0.4</v>
      </c>
      <c r="F23" s="11" t="n">
        <f aca="false">MAX(0.05,MIN(0.99,Inputs!E22+C23))</f>
        <v>0.5</v>
      </c>
      <c r="G23" s="11" t="n">
        <f aca="false">MAX(0.05,MIN(0.99,Inputs!F22+C23))</f>
        <v>0.85</v>
      </c>
      <c r="H23" s="11" t="n">
        <f aca="false">MAX(0.05,MIN(0.99,Inputs!G22-C23))</f>
        <v>0.45</v>
      </c>
      <c r="I23" s="7" t="n">
        <f aca="false">Inputs!H22</f>
        <v>0.85</v>
      </c>
      <c r="J23" s="8" t="n">
        <f aca="false">Inputs!J22</f>
        <v>9.5</v>
      </c>
      <c r="K23" s="11" t="n">
        <f aca="false">MAX(0.05,MIN(0.99,Inputs!K22-C23))</f>
        <v>0.5</v>
      </c>
      <c r="L23" s="11" t="n">
        <f aca="false">MAX(0.05,MIN(0.99,Inputs!L22-C23))</f>
        <v>0.75</v>
      </c>
      <c r="M23" s="10" t="n">
        <f aca="false">D23*E23*J23*((F23+G23)/2)*I23/H23*Parameters!$B$5</f>
        <v>726.75</v>
      </c>
      <c r="N23" s="10" t="n">
        <f aca="false">D23*E23*J23*Parameters!$B$4*I23/H23*Parameters!$B$5</f>
        <v>323</v>
      </c>
      <c r="O23" s="10" t="n">
        <f aca="false">M23-M23*K23*L23</f>
        <v>454.21875</v>
      </c>
      <c r="P23" s="11" t="n">
        <f aca="false">O23/N23</f>
        <v>1.40625</v>
      </c>
      <c r="Q23" s="13" t="str">
        <f aca="false">IF(P23&lt;Parameters!$B$6,"Below tolerance",IF(P23&lt;=Parameters!$B$7,"Approximately at tolerance","Above tolerance"))</f>
        <v>Above tolerance</v>
      </c>
    </row>
    <row r="24" customFormat="false" ht="15" hidden="false" customHeight="false" outlineLevel="0" collapsed="false">
      <c r="A24" s="13" t="s">
        <v>129</v>
      </c>
      <c r="B24" s="13" t="s">
        <v>306</v>
      </c>
      <c r="C24" s="11" t="n">
        <f aca="false">0*Parameters!$B$9</f>
        <v>0</v>
      </c>
      <c r="D24" s="11" t="n">
        <f aca="false">MAX(0.05,MIN(0.99,Inputs!C22+C24))</f>
        <v>0.25</v>
      </c>
      <c r="E24" s="11" t="n">
        <f aca="false">MAX(0.05,MIN(0.99,Inputs!D22+C24))</f>
        <v>0.5</v>
      </c>
      <c r="F24" s="11" t="n">
        <f aca="false">MAX(0.05,MIN(0.99,Inputs!E22+C24))</f>
        <v>0.6</v>
      </c>
      <c r="G24" s="11" t="n">
        <f aca="false">MAX(0.05,MIN(0.99,Inputs!F22+C24))</f>
        <v>0.95</v>
      </c>
      <c r="H24" s="11" t="n">
        <f aca="false">MAX(0.05,MIN(0.99,Inputs!G22-C24))</f>
        <v>0.35</v>
      </c>
      <c r="I24" s="7" t="n">
        <f aca="false">Inputs!H22</f>
        <v>0.85</v>
      </c>
      <c r="J24" s="8" t="n">
        <f aca="false">Inputs!J22</f>
        <v>9.5</v>
      </c>
      <c r="K24" s="11" t="n">
        <f aca="false">MAX(0.05,MIN(0.99,Inputs!K22-C24))</f>
        <v>0.4</v>
      </c>
      <c r="L24" s="11" t="n">
        <f aca="false">MAX(0.05,MIN(0.99,Inputs!L22-C24))</f>
        <v>0.65</v>
      </c>
      <c r="M24" s="10" t="n">
        <f aca="false">D24*E24*J24*((F24+G24)/2)*I24/H24*Parameters!$B$5</f>
        <v>2235.04464285714</v>
      </c>
      <c r="N24" s="10" t="n">
        <f aca="false">D24*E24*J24*Parameters!$B$4*I24/H24*Parameters!$B$5</f>
        <v>865.178571428571</v>
      </c>
      <c r="O24" s="10" t="n">
        <f aca="false">M24-M24*K24*L24</f>
        <v>1653.93303571429</v>
      </c>
      <c r="P24" s="11" t="n">
        <f aca="false">O24/N24</f>
        <v>1.91166666666667</v>
      </c>
      <c r="Q24" s="13" t="str">
        <f aca="false">IF(P24&lt;Parameters!$B$6,"Below tolerance",IF(P24&lt;=Parameters!$B$7,"Approximately at tolerance","Above tolerance"))</f>
        <v>Above tolerance</v>
      </c>
    </row>
    <row r="25" customFormat="false" ht="15" hidden="false" customHeight="false" outlineLevel="0" collapsed="false">
      <c r="A25" s="13" t="s">
        <v>129</v>
      </c>
      <c r="B25" s="13" t="s">
        <v>307</v>
      </c>
      <c r="C25" s="11" t="n">
        <f aca="false">1*Parameters!$B$9</f>
        <v>0.1</v>
      </c>
      <c r="D25" s="11" t="n">
        <f aca="false">MAX(0.05,MIN(0.99,Inputs!C22+C25))</f>
        <v>0.35</v>
      </c>
      <c r="E25" s="11" t="n">
        <f aca="false">MAX(0.05,MIN(0.99,Inputs!D22+C25))</f>
        <v>0.6</v>
      </c>
      <c r="F25" s="11" t="n">
        <f aca="false">MAX(0.05,MIN(0.99,Inputs!E22+C25))</f>
        <v>0.7</v>
      </c>
      <c r="G25" s="11" t="n">
        <f aca="false">MAX(0.05,MIN(0.99,Inputs!F22+C25))</f>
        <v>0.99</v>
      </c>
      <c r="H25" s="11" t="n">
        <f aca="false">MAX(0.05,MIN(0.99,Inputs!G22-C25))</f>
        <v>0.25</v>
      </c>
      <c r="I25" s="7" t="n">
        <f aca="false">Inputs!H22</f>
        <v>0.85</v>
      </c>
      <c r="J25" s="8" t="n">
        <f aca="false">Inputs!J22</f>
        <v>9.5</v>
      </c>
      <c r="K25" s="11" t="n">
        <f aca="false">MAX(0.05,MIN(0.99,Inputs!K22-C25))</f>
        <v>0.3</v>
      </c>
      <c r="L25" s="11" t="n">
        <f aca="false">MAX(0.05,MIN(0.99,Inputs!L22-C25))</f>
        <v>0.55</v>
      </c>
      <c r="M25" s="10" t="n">
        <f aca="false">D25*E25*J25*((F25+G25)/2)*I25/H25*Parameters!$B$5</f>
        <v>5731.635</v>
      </c>
      <c r="N25" s="10" t="n">
        <f aca="false">D25*E25*J25*Parameters!$B$4*I25/H25*Parameters!$B$5</f>
        <v>2034.9</v>
      </c>
      <c r="O25" s="10" t="n">
        <f aca="false">M25-M25*K25*L25</f>
        <v>4785.915225</v>
      </c>
      <c r="P25" s="11" t="n">
        <f aca="false">O25/N25</f>
        <v>2.35191666666667</v>
      </c>
      <c r="Q25" s="13" t="str">
        <f aca="false">IF(P25&lt;Parameters!$B$6,"Below tolerance",IF(P25&lt;=Parameters!$B$7,"Approximately at tolerance","Above tolerance"))</f>
        <v>Above tolerance</v>
      </c>
    </row>
    <row r="26" customFormat="false" ht="15" hidden="false" customHeight="false" outlineLevel="0" collapsed="false">
      <c r="A26" s="13" t="s">
        <v>132</v>
      </c>
      <c r="B26" s="13" t="s">
        <v>305</v>
      </c>
      <c r="C26" s="11" t="n">
        <f aca="false">-1*Parameters!$B$9</f>
        <v>-0.1</v>
      </c>
      <c r="D26" s="11" t="n">
        <f aca="false">MAX(0.05,MIN(0.99,Inputs!C23+C26))</f>
        <v>0.45</v>
      </c>
      <c r="E26" s="11" t="n">
        <f aca="false">MAX(0.05,MIN(0.99,Inputs!D23+C26))</f>
        <v>0.3</v>
      </c>
      <c r="F26" s="11" t="n">
        <f aca="false">MAX(0.05,MIN(0.99,Inputs!E23+C26))</f>
        <v>0.45</v>
      </c>
      <c r="G26" s="11" t="n">
        <f aca="false">MAX(0.05,MIN(0.99,Inputs!F23+C26))</f>
        <v>0.8</v>
      </c>
      <c r="H26" s="11" t="n">
        <f aca="false">MAX(0.05,MIN(0.99,Inputs!G23-C26))</f>
        <v>0.5</v>
      </c>
      <c r="I26" s="7" t="n">
        <f aca="false">Inputs!H23</f>
        <v>0.85</v>
      </c>
      <c r="J26" s="8" t="n">
        <f aca="false">Inputs!J23</f>
        <v>9.4</v>
      </c>
      <c r="K26" s="11" t="n">
        <f aca="false">MAX(0.05,MIN(0.99,Inputs!K23-C26))</f>
        <v>0.9</v>
      </c>
      <c r="L26" s="11" t="n">
        <f aca="false">MAX(0.05,MIN(0.99,Inputs!L23-C26))</f>
        <v>0.75</v>
      </c>
      <c r="M26" s="10" t="n">
        <f aca="false">D26*E26*J26*((F26+G26)/2)*I26/H26*Parameters!$B$5</f>
        <v>1348.3125</v>
      </c>
      <c r="N26" s="10" t="n">
        <f aca="false">D26*E26*J26*Parameters!$B$4*I26/H26*Parameters!$B$5</f>
        <v>647.19</v>
      </c>
      <c r="O26" s="10" t="n">
        <f aca="false">M26-M26*K26*L26</f>
        <v>438.2015625</v>
      </c>
      <c r="P26" s="11" t="n">
        <f aca="false">O26/N26</f>
        <v>0.677083333333333</v>
      </c>
      <c r="Q26" s="13" t="str">
        <f aca="false">IF(P26&lt;Parameters!$B$6,"Below tolerance",IF(P26&lt;=Parameters!$B$7,"Approximately at tolerance","Above tolerance"))</f>
        <v>Below tolerance</v>
      </c>
    </row>
    <row r="27" customFormat="false" ht="15" hidden="false" customHeight="false" outlineLevel="0" collapsed="false">
      <c r="A27" s="13" t="s">
        <v>132</v>
      </c>
      <c r="B27" s="13" t="s">
        <v>306</v>
      </c>
      <c r="C27" s="11" t="n">
        <f aca="false">0*Parameters!$B$9</f>
        <v>0</v>
      </c>
      <c r="D27" s="11" t="n">
        <f aca="false">MAX(0.05,MIN(0.99,Inputs!C23+C27))</f>
        <v>0.55</v>
      </c>
      <c r="E27" s="11" t="n">
        <f aca="false">MAX(0.05,MIN(0.99,Inputs!D23+C27))</f>
        <v>0.4</v>
      </c>
      <c r="F27" s="11" t="n">
        <f aca="false">MAX(0.05,MIN(0.99,Inputs!E23+C27))</f>
        <v>0.55</v>
      </c>
      <c r="G27" s="11" t="n">
        <f aca="false">MAX(0.05,MIN(0.99,Inputs!F23+C27))</f>
        <v>0.9</v>
      </c>
      <c r="H27" s="11" t="n">
        <f aca="false">MAX(0.05,MIN(0.99,Inputs!G23-C27))</f>
        <v>0.4</v>
      </c>
      <c r="I27" s="7" t="n">
        <f aca="false">Inputs!H23</f>
        <v>0.85</v>
      </c>
      <c r="J27" s="8" t="n">
        <f aca="false">Inputs!J23</f>
        <v>9.4</v>
      </c>
      <c r="K27" s="11" t="n">
        <f aca="false">MAX(0.05,MIN(0.99,Inputs!K23-C27))</f>
        <v>0.8</v>
      </c>
      <c r="L27" s="11" t="n">
        <f aca="false">MAX(0.05,MIN(0.99,Inputs!L23-C27))</f>
        <v>0.65</v>
      </c>
      <c r="M27" s="10" t="n">
        <f aca="false">D27*E27*J27*((F27+G27)/2)*I27/H27*Parameters!$B$5</f>
        <v>3186.0125</v>
      </c>
      <c r="N27" s="10" t="n">
        <f aca="false">D27*E27*J27*Parameters!$B$4*I27/H27*Parameters!$B$5</f>
        <v>1318.35</v>
      </c>
      <c r="O27" s="10" t="n">
        <f aca="false">M27-M27*K27*L27</f>
        <v>1529.286</v>
      </c>
      <c r="P27" s="11" t="n">
        <f aca="false">O27/N27</f>
        <v>1.16</v>
      </c>
      <c r="Q27" s="13" t="str">
        <f aca="false">IF(P27&lt;Parameters!$B$6,"Below tolerance",IF(P27&lt;=Parameters!$B$7,"Approximately at tolerance","Above tolerance"))</f>
        <v>Above tolerance</v>
      </c>
    </row>
    <row r="28" customFormat="false" ht="15" hidden="false" customHeight="false" outlineLevel="0" collapsed="false">
      <c r="A28" s="13" t="s">
        <v>132</v>
      </c>
      <c r="B28" s="13" t="s">
        <v>307</v>
      </c>
      <c r="C28" s="11" t="n">
        <f aca="false">1*Parameters!$B$9</f>
        <v>0.1</v>
      </c>
      <c r="D28" s="11" t="n">
        <f aca="false">MAX(0.05,MIN(0.99,Inputs!C23+C28))</f>
        <v>0.65</v>
      </c>
      <c r="E28" s="11" t="n">
        <f aca="false">MAX(0.05,MIN(0.99,Inputs!D23+C28))</f>
        <v>0.5</v>
      </c>
      <c r="F28" s="11" t="n">
        <f aca="false">MAX(0.05,MIN(0.99,Inputs!E23+C28))</f>
        <v>0.65</v>
      </c>
      <c r="G28" s="11" t="n">
        <f aca="false">MAX(0.05,MIN(0.99,Inputs!F23+C28))</f>
        <v>0.99</v>
      </c>
      <c r="H28" s="11" t="n">
        <f aca="false">MAX(0.05,MIN(0.99,Inputs!G23-C28))</f>
        <v>0.3</v>
      </c>
      <c r="I28" s="7" t="n">
        <f aca="false">Inputs!H23</f>
        <v>0.85</v>
      </c>
      <c r="J28" s="8" t="n">
        <f aca="false">Inputs!J23</f>
        <v>9.4</v>
      </c>
      <c r="K28" s="11" t="n">
        <f aca="false">MAX(0.05,MIN(0.99,Inputs!K23-C28))</f>
        <v>0.7</v>
      </c>
      <c r="L28" s="11" t="n">
        <f aca="false">MAX(0.05,MIN(0.99,Inputs!L23-C28))</f>
        <v>0.55</v>
      </c>
      <c r="M28" s="10" t="n">
        <f aca="false">D28*E28*J28*((F28+G28)/2)*I28/H28*Parameters!$B$5</f>
        <v>7097.78333333333</v>
      </c>
      <c r="N28" s="10" t="n">
        <f aca="false">D28*E28*J28*Parameters!$B$4*I28/H28*Parameters!$B$5</f>
        <v>2596.75</v>
      </c>
      <c r="O28" s="10" t="n">
        <f aca="false">M28-M28*K28*L28</f>
        <v>4365.13675</v>
      </c>
      <c r="P28" s="11" t="n">
        <f aca="false">O28/N28</f>
        <v>1.681</v>
      </c>
      <c r="Q28" s="13" t="str">
        <f aca="false">IF(P28&lt;Parameters!$B$6,"Below tolerance",IF(P28&lt;=Parameters!$B$7,"Approximately at tolerance","Above tolerance"))</f>
        <v>Above tolerance</v>
      </c>
    </row>
    <row r="29" customFormat="false" ht="15" hidden="false" customHeight="false" outlineLevel="0" collapsed="false">
      <c r="A29" s="13" t="s">
        <v>152</v>
      </c>
      <c r="B29" s="13" t="s">
        <v>305</v>
      </c>
      <c r="C29" s="11" t="n">
        <f aca="false">-1*Parameters!$B$9</f>
        <v>-0.1</v>
      </c>
      <c r="D29" s="11" t="n">
        <f aca="false">MAX(0.05,MIN(0.99,Inputs!C30+C29))</f>
        <v>0.45</v>
      </c>
      <c r="E29" s="11" t="n">
        <f aca="false">MAX(0.05,MIN(0.99,Inputs!D30+C29))</f>
        <v>0.4</v>
      </c>
      <c r="F29" s="11" t="n">
        <f aca="false">MAX(0.05,MIN(0.99,Inputs!E30+C29))</f>
        <v>0.45</v>
      </c>
      <c r="G29" s="11" t="n">
        <f aca="false">MAX(0.05,MIN(0.99,Inputs!F30+C29))</f>
        <v>0.8</v>
      </c>
      <c r="H29" s="11" t="n">
        <f aca="false">MAX(0.05,MIN(0.99,Inputs!G30-C29))</f>
        <v>0.5</v>
      </c>
      <c r="I29" s="7" t="n">
        <f aca="false">Inputs!H30</f>
        <v>0.85</v>
      </c>
      <c r="J29" s="8" t="n">
        <f aca="false">Inputs!J30</f>
        <v>9.3</v>
      </c>
      <c r="K29" s="11" t="n">
        <f aca="false">MAX(0.05,MIN(0.99,Inputs!K30-C29))</f>
        <v>0.9</v>
      </c>
      <c r="L29" s="11" t="n">
        <f aca="false">MAX(0.05,MIN(0.99,Inputs!L30-C29))</f>
        <v>0.7</v>
      </c>
      <c r="M29" s="10" t="n">
        <f aca="false">D29*E29*J29*((F29+G29)/2)*I29/H29*Parameters!$B$5</f>
        <v>1778.625</v>
      </c>
      <c r="N29" s="10" t="n">
        <f aca="false">D29*E29*J29*Parameters!$B$4*I29/H29*Parameters!$B$5</f>
        <v>853.74</v>
      </c>
      <c r="O29" s="10" t="n">
        <f aca="false">M29-M29*K29*L29</f>
        <v>658.09125</v>
      </c>
      <c r="P29" s="11" t="n">
        <f aca="false">O29/N29</f>
        <v>0.770833333333333</v>
      </c>
      <c r="Q29" s="13" t="str">
        <f aca="false">IF(P29&lt;Parameters!$B$6,"Below tolerance",IF(P29&lt;=Parameters!$B$7,"Approximately at tolerance","Above tolerance"))</f>
        <v>Below tolerance</v>
      </c>
    </row>
    <row r="30" customFormat="false" ht="15" hidden="false" customHeight="false" outlineLevel="0" collapsed="false">
      <c r="A30" s="13" t="s">
        <v>152</v>
      </c>
      <c r="B30" s="13" t="s">
        <v>306</v>
      </c>
      <c r="C30" s="11" t="n">
        <f aca="false">0*Parameters!$B$9</f>
        <v>0</v>
      </c>
      <c r="D30" s="11" t="n">
        <f aca="false">MAX(0.05,MIN(0.99,Inputs!C30+C30))</f>
        <v>0.55</v>
      </c>
      <c r="E30" s="11" t="n">
        <f aca="false">MAX(0.05,MIN(0.99,Inputs!D30+C30))</f>
        <v>0.5</v>
      </c>
      <c r="F30" s="11" t="n">
        <f aca="false">MAX(0.05,MIN(0.99,Inputs!E30+C30))</f>
        <v>0.55</v>
      </c>
      <c r="G30" s="11" t="n">
        <f aca="false">MAX(0.05,MIN(0.99,Inputs!F30+C30))</f>
        <v>0.9</v>
      </c>
      <c r="H30" s="11" t="n">
        <f aca="false">MAX(0.05,MIN(0.99,Inputs!G30-C30))</f>
        <v>0.4</v>
      </c>
      <c r="I30" s="7" t="n">
        <f aca="false">Inputs!H30</f>
        <v>0.85</v>
      </c>
      <c r="J30" s="8" t="n">
        <f aca="false">Inputs!J30</f>
        <v>9.3</v>
      </c>
      <c r="K30" s="11" t="n">
        <f aca="false">MAX(0.05,MIN(0.99,Inputs!K30-C30))</f>
        <v>0.8</v>
      </c>
      <c r="L30" s="11" t="n">
        <f aca="false">MAX(0.05,MIN(0.99,Inputs!L30-C30))</f>
        <v>0.6</v>
      </c>
      <c r="M30" s="10" t="n">
        <f aca="false">D30*E30*J30*((F30+G30)/2)*I30/H30*Parameters!$B$5</f>
        <v>3940.1484375</v>
      </c>
      <c r="N30" s="10" t="n">
        <f aca="false">D30*E30*J30*Parameters!$B$4*I30/H30*Parameters!$B$5</f>
        <v>1630.40625</v>
      </c>
      <c r="O30" s="10" t="n">
        <f aca="false">M30-M30*K30*L30</f>
        <v>2048.8771875</v>
      </c>
      <c r="P30" s="11" t="n">
        <f aca="false">O30/N30</f>
        <v>1.25666666666667</v>
      </c>
      <c r="Q30" s="13" t="str">
        <f aca="false">IF(P30&lt;Parameters!$B$6,"Below tolerance",IF(P30&lt;=Parameters!$B$7,"Approximately at tolerance","Above tolerance"))</f>
        <v>Above tolerance</v>
      </c>
    </row>
    <row r="31" customFormat="false" ht="15" hidden="false" customHeight="false" outlineLevel="0" collapsed="false">
      <c r="A31" s="13" t="s">
        <v>152</v>
      </c>
      <c r="B31" s="13" t="s">
        <v>307</v>
      </c>
      <c r="C31" s="11" t="n">
        <f aca="false">1*Parameters!$B$9</f>
        <v>0.1</v>
      </c>
      <c r="D31" s="11" t="n">
        <f aca="false">MAX(0.05,MIN(0.99,Inputs!C30+C31))</f>
        <v>0.65</v>
      </c>
      <c r="E31" s="11" t="n">
        <f aca="false">MAX(0.05,MIN(0.99,Inputs!D30+C31))</f>
        <v>0.6</v>
      </c>
      <c r="F31" s="11" t="n">
        <f aca="false">MAX(0.05,MIN(0.99,Inputs!E30+C31))</f>
        <v>0.65</v>
      </c>
      <c r="G31" s="11" t="n">
        <f aca="false">MAX(0.05,MIN(0.99,Inputs!F30+C31))</f>
        <v>0.99</v>
      </c>
      <c r="H31" s="11" t="n">
        <f aca="false">MAX(0.05,MIN(0.99,Inputs!G30-C31))</f>
        <v>0.3</v>
      </c>
      <c r="I31" s="7" t="n">
        <f aca="false">Inputs!H30</f>
        <v>0.85</v>
      </c>
      <c r="J31" s="8" t="n">
        <f aca="false">Inputs!J30</f>
        <v>9.3</v>
      </c>
      <c r="K31" s="11" t="n">
        <f aca="false">MAX(0.05,MIN(0.99,Inputs!K30-C31))</f>
        <v>0.7</v>
      </c>
      <c r="L31" s="11" t="n">
        <f aca="false">MAX(0.05,MIN(0.99,Inputs!L30-C31))</f>
        <v>0.5</v>
      </c>
      <c r="M31" s="10" t="n">
        <f aca="false">D31*E31*J31*((F31+G31)/2)*I31/H31*Parameters!$B$5</f>
        <v>8426.73</v>
      </c>
      <c r="N31" s="10" t="n">
        <f aca="false">D31*E31*J31*Parameters!$B$4*I31/H31*Parameters!$B$5</f>
        <v>3082.95</v>
      </c>
      <c r="O31" s="10" t="n">
        <f aca="false">M31-M31*K31*L31</f>
        <v>5477.3745</v>
      </c>
      <c r="P31" s="11" t="n">
        <f aca="false">O31/N31</f>
        <v>1.77666666666667</v>
      </c>
      <c r="Q31" s="13" t="str">
        <f aca="false">IF(P31&lt;Parameters!$B$6,"Below tolerance",IF(P31&lt;=Parameters!$B$7,"Approximately at tolerance","Above tolerance"))</f>
        <v>Above tolerance</v>
      </c>
    </row>
    <row r="32" customFormat="false" ht="15" hidden="false" customHeight="false" outlineLevel="0" collapsed="false">
      <c r="A32" s="13" t="s">
        <v>155</v>
      </c>
      <c r="B32" s="13" t="s">
        <v>305</v>
      </c>
      <c r="C32" s="11" t="n">
        <f aca="false">-1*Parameters!$B$9</f>
        <v>-0.1</v>
      </c>
      <c r="D32" s="11" t="n">
        <f aca="false">MAX(0.05,MIN(0.99,Inputs!C31+C32))</f>
        <v>0.05</v>
      </c>
      <c r="E32" s="11" t="n">
        <f aca="false">MAX(0.05,MIN(0.99,Inputs!D31+C32))</f>
        <v>0.5</v>
      </c>
      <c r="F32" s="11" t="n">
        <f aca="false">MAX(0.05,MIN(0.99,Inputs!E31+C32))</f>
        <v>0.5</v>
      </c>
      <c r="G32" s="11" t="n">
        <f aca="false">MAX(0.05,MIN(0.99,Inputs!F31+C32))</f>
        <v>0.85</v>
      </c>
      <c r="H32" s="11" t="n">
        <f aca="false">MAX(0.05,MIN(0.99,Inputs!G31-C32))</f>
        <v>0.45</v>
      </c>
      <c r="I32" s="7" t="n">
        <f aca="false">Inputs!H31</f>
        <v>0.9</v>
      </c>
      <c r="J32" s="8" t="n">
        <f aca="false">Inputs!J31</f>
        <v>9.4</v>
      </c>
      <c r="K32" s="11" t="n">
        <f aca="false">MAX(0.05,MIN(0.99,Inputs!K31-C32))</f>
        <v>0.65</v>
      </c>
      <c r="L32" s="11" t="n">
        <f aca="false">MAX(0.05,MIN(0.99,Inputs!L31-C32))</f>
        <v>0.7</v>
      </c>
      <c r="M32" s="10" t="n">
        <f aca="false">D32*E32*J32*((F32+G32)/2)*I32/H32*Parameters!$B$5</f>
        <v>317.25</v>
      </c>
      <c r="N32" s="10" t="n">
        <f aca="false">D32*E32*J32*Parameters!$B$4*I32/H32*Parameters!$B$5</f>
        <v>141</v>
      </c>
      <c r="O32" s="10" t="n">
        <f aca="false">M32-M32*K32*L32</f>
        <v>172.90125</v>
      </c>
      <c r="P32" s="11" t="n">
        <f aca="false">O32/N32</f>
        <v>1.22625</v>
      </c>
      <c r="Q32" s="13" t="str">
        <f aca="false">IF(P32&lt;Parameters!$B$6,"Below tolerance",IF(P32&lt;=Parameters!$B$7,"Approximately at tolerance","Above tolerance"))</f>
        <v>Above tolerance</v>
      </c>
    </row>
    <row r="33" customFormat="false" ht="15" hidden="false" customHeight="false" outlineLevel="0" collapsed="false">
      <c r="A33" s="13" t="s">
        <v>155</v>
      </c>
      <c r="B33" s="13" t="s">
        <v>306</v>
      </c>
      <c r="C33" s="11" t="n">
        <f aca="false">0*Parameters!$B$9</f>
        <v>0</v>
      </c>
      <c r="D33" s="11" t="n">
        <f aca="false">MAX(0.05,MIN(0.99,Inputs!C31+C33))</f>
        <v>0.15</v>
      </c>
      <c r="E33" s="11" t="n">
        <f aca="false">MAX(0.05,MIN(0.99,Inputs!D31+C33))</f>
        <v>0.6</v>
      </c>
      <c r="F33" s="11" t="n">
        <f aca="false">MAX(0.05,MIN(0.99,Inputs!E31+C33))</f>
        <v>0.6</v>
      </c>
      <c r="G33" s="11" t="n">
        <f aca="false">MAX(0.05,MIN(0.99,Inputs!F31+C33))</f>
        <v>0.95</v>
      </c>
      <c r="H33" s="11" t="n">
        <f aca="false">MAX(0.05,MIN(0.99,Inputs!G31-C33))</f>
        <v>0.35</v>
      </c>
      <c r="I33" s="7" t="n">
        <f aca="false">Inputs!H31</f>
        <v>0.9</v>
      </c>
      <c r="J33" s="8" t="n">
        <f aca="false">Inputs!J31</f>
        <v>9.4</v>
      </c>
      <c r="K33" s="11" t="n">
        <f aca="false">MAX(0.05,MIN(0.99,Inputs!K31-C33))</f>
        <v>0.55</v>
      </c>
      <c r="L33" s="11" t="n">
        <f aca="false">MAX(0.05,MIN(0.99,Inputs!L31-C33))</f>
        <v>0.6</v>
      </c>
      <c r="M33" s="10" t="n">
        <f aca="false">D33*E33*J33*((F33+G33)/2)*I33/H33*Parameters!$B$5</f>
        <v>1685.95714285714</v>
      </c>
      <c r="N33" s="10" t="n">
        <f aca="false">D33*E33*J33*Parameters!$B$4*I33/H33*Parameters!$B$5</f>
        <v>652.628571428572</v>
      </c>
      <c r="O33" s="10" t="n">
        <f aca="false">M33-M33*K33*L33</f>
        <v>1129.59128571429</v>
      </c>
      <c r="P33" s="11" t="n">
        <f aca="false">O33/N33</f>
        <v>1.73083333333333</v>
      </c>
      <c r="Q33" s="13" t="str">
        <f aca="false">IF(P33&lt;Parameters!$B$6,"Below tolerance",IF(P33&lt;=Parameters!$B$7,"Approximately at tolerance","Above tolerance"))</f>
        <v>Above tolerance</v>
      </c>
    </row>
    <row r="34" customFormat="false" ht="15" hidden="false" customHeight="false" outlineLevel="0" collapsed="false">
      <c r="A34" s="13" t="s">
        <v>155</v>
      </c>
      <c r="B34" s="13" t="s">
        <v>307</v>
      </c>
      <c r="C34" s="11" t="n">
        <f aca="false">1*Parameters!$B$9</f>
        <v>0.1</v>
      </c>
      <c r="D34" s="11" t="n">
        <f aca="false">MAX(0.05,MIN(0.99,Inputs!C31+C34))</f>
        <v>0.25</v>
      </c>
      <c r="E34" s="11" t="n">
        <f aca="false">MAX(0.05,MIN(0.99,Inputs!D31+C34))</f>
        <v>0.7</v>
      </c>
      <c r="F34" s="11" t="n">
        <f aca="false">MAX(0.05,MIN(0.99,Inputs!E31+C34))</f>
        <v>0.7</v>
      </c>
      <c r="G34" s="11" t="n">
        <f aca="false">MAX(0.05,MIN(0.99,Inputs!F31+C34))</f>
        <v>0.99</v>
      </c>
      <c r="H34" s="11" t="n">
        <f aca="false">MAX(0.05,MIN(0.99,Inputs!G31-C34))</f>
        <v>0.25</v>
      </c>
      <c r="I34" s="7" t="n">
        <f aca="false">Inputs!H31</f>
        <v>0.9</v>
      </c>
      <c r="J34" s="8" t="n">
        <f aca="false">Inputs!J31</f>
        <v>9.4</v>
      </c>
      <c r="K34" s="11" t="n">
        <f aca="false">MAX(0.05,MIN(0.99,Inputs!K31-C34))</f>
        <v>0.45</v>
      </c>
      <c r="L34" s="11" t="n">
        <f aca="false">MAX(0.05,MIN(0.99,Inputs!L31-C34))</f>
        <v>0.5</v>
      </c>
      <c r="M34" s="10" t="n">
        <f aca="false">D34*E34*J34*((F34+G34)/2)*I34/H34*Parameters!$B$5</f>
        <v>5004.09</v>
      </c>
      <c r="N34" s="10" t="n">
        <f aca="false">D34*E34*J34*Parameters!$B$4*I34/H34*Parameters!$B$5</f>
        <v>1776.6</v>
      </c>
      <c r="O34" s="10" t="n">
        <f aca="false">M34-M34*K34*L34</f>
        <v>3878.16975</v>
      </c>
      <c r="P34" s="11" t="n">
        <f aca="false">O34/N34</f>
        <v>2.18291666666667</v>
      </c>
      <c r="Q34" s="13" t="str">
        <f aca="false">IF(P34&lt;Parameters!$B$6,"Below tolerance",IF(P34&lt;=Parameters!$B$7,"Approximately at tolerance","Above tolerance"))</f>
        <v>Above tolerance</v>
      </c>
    </row>
    <row r="36" customFormat="false" ht="15" hidden="false" customHeight="false" outlineLevel="0" collapsed="false">
      <c r="A36" s="28" t="s">
        <v>308</v>
      </c>
    </row>
    <row r="37" customFormat="false" ht="23.85" hidden="false" customHeight="false" outlineLevel="0" collapsed="false">
      <c r="A37" s="4" t="s">
        <v>22</v>
      </c>
      <c r="B37" s="4" t="s">
        <v>309</v>
      </c>
      <c r="C37" s="4" t="s">
        <v>310</v>
      </c>
      <c r="D37" s="4" t="s">
        <v>311</v>
      </c>
    </row>
    <row r="38" customFormat="false" ht="15" hidden="false" customHeight="false" outlineLevel="0" collapsed="false">
      <c r="A38" s="13" t="s">
        <v>73</v>
      </c>
      <c r="B38" s="11" t="n">
        <f aca="false">Analyse!S5/(Analyse!M5/Analyse!J5*0.2)</f>
        <v>1.4</v>
      </c>
      <c r="C38" s="11" t="n">
        <f aca="false">Analyse!S5/(Analyse!M5/Analyse!J5*0.3)</f>
        <v>0.933333333333333</v>
      </c>
      <c r="D38" s="11" t="n">
        <f aca="false">Analyse!S5/(Analyse!M5/Analyse!J5*0.4)</f>
        <v>0.7</v>
      </c>
    </row>
    <row r="39" customFormat="false" ht="15" hidden="false" customHeight="false" outlineLevel="0" collapsed="false">
      <c r="A39" s="13" t="s">
        <v>79</v>
      </c>
      <c r="B39" s="11" t="n">
        <f aca="false">Analyse!S6/(Analyse!M6/Analyse!J6*0.2)</f>
        <v>1.8046875</v>
      </c>
      <c r="C39" s="11" t="n">
        <f aca="false">Analyse!S6/(Analyse!M6/Analyse!J6*0.3)</f>
        <v>1.203125</v>
      </c>
      <c r="D39" s="11" t="n">
        <f aca="false">Analyse!S6/(Analyse!M6/Analyse!J6*0.4)</f>
        <v>0.90234375</v>
      </c>
    </row>
    <row r="40" customFormat="false" ht="15" hidden="false" customHeight="false" outlineLevel="0" collapsed="false">
      <c r="A40" s="13" t="s">
        <v>82</v>
      </c>
      <c r="B40" s="11" t="n">
        <f aca="false">Analyse!S7/(Analyse!M7/Analyse!J7*0.2)</f>
        <v>1.2</v>
      </c>
      <c r="C40" s="11" t="n">
        <f aca="false">Analyse!S7/(Analyse!M7/Analyse!J7*0.3)</f>
        <v>0.8</v>
      </c>
      <c r="D40" s="11" t="n">
        <f aca="false">Analyse!S7/(Analyse!M7/Analyse!J7*0.4)</f>
        <v>0.6</v>
      </c>
    </row>
    <row r="41" customFormat="false" ht="15" hidden="false" customHeight="false" outlineLevel="0" collapsed="false">
      <c r="A41" s="13" t="s">
        <v>85</v>
      </c>
      <c r="B41" s="11" t="n">
        <f aca="false">Analyse!S8/(Analyse!M8/Analyse!J8*0.2)</f>
        <v>1.366875</v>
      </c>
      <c r="C41" s="11" t="n">
        <f aca="false">Analyse!S8/(Analyse!M8/Analyse!J8*0.3)</f>
        <v>0.91125</v>
      </c>
      <c r="D41" s="11" t="n">
        <f aca="false">Analyse!S8/(Analyse!M8/Analyse!J8*0.4)</f>
        <v>0.6834375</v>
      </c>
    </row>
    <row r="42" customFormat="false" ht="15" hidden="false" customHeight="false" outlineLevel="0" collapsed="false">
      <c r="A42" s="13" t="s">
        <v>88</v>
      </c>
      <c r="B42" s="11" t="n">
        <f aca="false">Analyse!S9/(Analyse!M9/Analyse!J9*0.2)</f>
        <v>1.83</v>
      </c>
      <c r="C42" s="11" t="n">
        <f aca="false">Analyse!S9/(Analyse!M9/Analyse!J9*0.3)</f>
        <v>1.22</v>
      </c>
      <c r="D42" s="11" t="n">
        <f aca="false">Analyse!S9/(Analyse!M9/Analyse!J9*0.4)</f>
        <v>0.915</v>
      </c>
    </row>
    <row r="43" customFormat="false" ht="15" hidden="false" customHeight="false" outlineLevel="0" collapsed="false">
      <c r="A43" s="13" t="s">
        <v>91</v>
      </c>
      <c r="B43" s="11" t="n">
        <f aca="false">Analyse!S10/(Analyse!M10/Analyse!J10*0.2)</f>
        <v>1.51875</v>
      </c>
      <c r="C43" s="11" t="n">
        <f aca="false">Analyse!S10/(Analyse!M10/Analyse!J10*0.3)</f>
        <v>1.0125</v>
      </c>
      <c r="D43" s="11" t="n">
        <f aca="false">Analyse!S10/(Analyse!M10/Analyse!J10*0.4)</f>
        <v>0.759375</v>
      </c>
    </row>
    <row r="44" customFormat="false" ht="15" hidden="false" customHeight="false" outlineLevel="0" collapsed="false">
      <c r="A44" s="13" t="s">
        <v>94</v>
      </c>
      <c r="B44" s="11" t="n">
        <f aca="false">Analyse!S11/(Analyse!M11/Analyse!J11*0.2)</f>
        <v>2.175</v>
      </c>
      <c r="C44" s="11" t="n">
        <f aca="false">Analyse!S11/(Analyse!M11/Analyse!J11*0.3)</f>
        <v>1.45</v>
      </c>
      <c r="D44" s="11" t="n">
        <f aca="false">Analyse!S11/(Analyse!M11/Analyse!J11*0.4)</f>
        <v>1.0875</v>
      </c>
    </row>
    <row r="45" customFormat="false" ht="15" hidden="false" customHeight="false" outlineLevel="0" collapsed="false">
      <c r="A45" s="13" t="s">
        <v>97</v>
      </c>
      <c r="B45" s="11" t="n">
        <f aca="false">Analyse!S12/(Analyse!M12/Analyse!J12*0.2)</f>
        <v>1.65</v>
      </c>
      <c r="C45" s="11" t="n">
        <f aca="false">Analyse!S12/(Analyse!M12/Analyse!J12*0.3)</f>
        <v>1.1</v>
      </c>
      <c r="D45" s="11" t="n">
        <f aca="false">Analyse!S12/(Analyse!M12/Analyse!J12*0.4)</f>
        <v>0.825</v>
      </c>
    </row>
    <row r="46" customFormat="false" ht="15" hidden="false" customHeight="false" outlineLevel="0" collapsed="false">
      <c r="A46" s="13" t="s">
        <v>100</v>
      </c>
      <c r="B46" s="11" t="n">
        <f aca="false">Analyse!S13/(Analyse!M13/Analyse!J13*0.2)</f>
        <v>2.30625</v>
      </c>
      <c r="C46" s="11" t="n">
        <f aca="false">Analyse!S13/(Analyse!M13/Analyse!J13*0.3)</f>
        <v>1.5375</v>
      </c>
      <c r="D46" s="11" t="n">
        <f aca="false">Analyse!S13/(Analyse!M13/Analyse!J13*0.4)</f>
        <v>1.153125</v>
      </c>
    </row>
    <row r="47" customFormat="false" ht="15" hidden="false" customHeight="false" outlineLevel="0" collapsed="false">
      <c r="A47" s="13" t="s">
        <v>103</v>
      </c>
      <c r="B47" s="11" t="n">
        <f aca="false">Analyse!S14/(Analyse!M14/Analyse!J14*0.2)</f>
        <v>1.78125</v>
      </c>
      <c r="C47" s="11" t="n">
        <f aca="false">Analyse!S14/(Analyse!M14/Analyse!J14*0.3)</f>
        <v>1.1875</v>
      </c>
      <c r="D47" s="11" t="n">
        <f aca="false">Analyse!S14/(Analyse!M14/Analyse!J14*0.4)</f>
        <v>0.890625</v>
      </c>
    </row>
    <row r="48" customFormat="false" ht="15" hidden="false" customHeight="false" outlineLevel="0" collapsed="false">
      <c r="A48" s="13" t="s">
        <v>106</v>
      </c>
      <c r="B48" s="11" t="n">
        <f aca="false">Analyse!S15/(Analyse!M15/Analyse!J15*0.2)</f>
        <v>1.5925</v>
      </c>
      <c r="C48" s="11" t="n">
        <f aca="false">Analyse!S15/(Analyse!M15/Analyse!J15*0.3)</f>
        <v>1.06166666666667</v>
      </c>
      <c r="D48" s="11" t="n">
        <f aca="false">Analyse!S15/(Analyse!M15/Analyse!J15*0.4)</f>
        <v>0.79625</v>
      </c>
    </row>
    <row r="49" customFormat="false" ht="15" hidden="false" customHeight="false" outlineLevel="0" collapsed="false">
      <c r="A49" s="13" t="s">
        <v>109</v>
      </c>
      <c r="B49" s="11" t="n">
        <f aca="false">Analyse!S16/(Analyse!M16/Analyse!J16*0.2)</f>
        <v>1.38</v>
      </c>
      <c r="C49" s="11" t="n">
        <f aca="false">Analyse!S16/(Analyse!M16/Analyse!J16*0.3)</f>
        <v>0.92</v>
      </c>
      <c r="D49" s="11" t="n">
        <f aca="false">Analyse!S16/(Analyse!M16/Analyse!J16*0.4)</f>
        <v>0.69</v>
      </c>
    </row>
    <row r="50" customFormat="false" ht="15" hidden="false" customHeight="false" outlineLevel="0" collapsed="false">
      <c r="A50" s="13" t="s">
        <v>112</v>
      </c>
      <c r="B50" s="11" t="n">
        <f aca="false">Analyse!S17/(Analyse!M17/Analyse!J17*0.2)</f>
        <v>0.935</v>
      </c>
      <c r="C50" s="11" t="n">
        <f aca="false">Analyse!S17/(Analyse!M17/Analyse!J17*0.3)</f>
        <v>0.623333333333334</v>
      </c>
      <c r="D50" s="11" t="n">
        <f aca="false">Analyse!S17/(Analyse!M17/Analyse!J17*0.4)</f>
        <v>0.4675</v>
      </c>
    </row>
    <row r="51" customFormat="false" ht="15" hidden="false" customHeight="false" outlineLevel="0" collapsed="false">
      <c r="A51" s="13" t="s">
        <v>115</v>
      </c>
      <c r="B51" s="11" t="n">
        <f aca="false">Analyse!S18/(Analyse!M18/Analyse!J18*0.2)</f>
        <v>1.235</v>
      </c>
      <c r="C51" s="11" t="n">
        <f aca="false">Analyse!S18/(Analyse!M18/Analyse!J18*0.3)</f>
        <v>0.823333333333333</v>
      </c>
      <c r="D51" s="11" t="n">
        <f aca="false">Analyse!S18/(Analyse!M18/Analyse!J18*0.4)</f>
        <v>0.6175</v>
      </c>
    </row>
    <row r="52" customFormat="false" ht="15" hidden="false" customHeight="false" outlineLevel="0" collapsed="false">
      <c r="A52" s="13" t="s">
        <v>118</v>
      </c>
      <c r="B52" s="11" t="n">
        <f aca="false">Analyse!S19/(Analyse!M19/Analyse!J19*0.2)</f>
        <v>0.8</v>
      </c>
      <c r="C52" s="11" t="n">
        <f aca="false">Analyse!S19/(Analyse!M19/Analyse!J19*0.3)</f>
        <v>0.533333333333333</v>
      </c>
      <c r="D52" s="11" t="n">
        <f aca="false">Analyse!S19/(Analyse!M19/Analyse!J19*0.4)</f>
        <v>0.4</v>
      </c>
    </row>
    <row r="53" customFormat="false" ht="15" hidden="false" customHeight="false" outlineLevel="0" collapsed="false">
      <c r="A53" s="13" t="s">
        <v>121</v>
      </c>
      <c r="B53" s="11" t="n">
        <f aca="false">Analyse!S20/(Analyse!M20/Analyse!J20*0.2)</f>
        <v>1.9075</v>
      </c>
      <c r="C53" s="11" t="n">
        <f aca="false">Analyse!S20/(Analyse!M20/Analyse!J20*0.3)</f>
        <v>1.27166666666667</v>
      </c>
      <c r="D53" s="11" t="n">
        <f aca="false">Analyse!S20/(Analyse!M20/Analyse!J20*0.4)</f>
        <v>0.95375</v>
      </c>
    </row>
    <row r="54" customFormat="false" ht="15" hidden="false" customHeight="false" outlineLevel="0" collapsed="false">
      <c r="A54" s="13" t="s">
        <v>124</v>
      </c>
      <c r="B54" s="11" t="n">
        <f aca="false">Analyse!S21/(Analyse!M21/Analyse!J21*0.2)</f>
        <v>1.4025</v>
      </c>
      <c r="C54" s="11" t="n">
        <f aca="false">Analyse!S21/(Analyse!M21/Analyse!J21*0.3)</f>
        <v>0.935</v>
      </c>
      <c r="D54" s="11" t="n">
        <f aca="false">Analyse!S21/(Analyse!M21/Analyse!J21*0.4)</f>
        <v>0.70125</v>
      </c>
    </row>
    <row r="55" customFormat="false" ht="15" hidden="false" customHeight="false" outlineLevel="0" collapsed="false">
      <c r="A55" s="13" t="s">
        <v>127</v>
      </c>
      <c r="B55" s="11" t="n">
        <f aca="false">Analyse!S22/(Analyse!M22/Analyse!J22*0.2)</f>
        <v>1.755</v>
      </c>
      <c r="C55" s="11" t="n">
        <f aca="false">Analyse!S22/(Analyse!M22/Analyse!J22*0.3)</f>
        <v>1.17</v>
      </c>
      <c r="D55" s="11" t="n">
        <f aca="false">Analyse!S22/(Analyse!M22/Analyse!J22*0.4)</f>
        <v>0.8775</v>
      </c>
    </row>
    <row r="56" customFormat="false" ht="15" hidden="false" customHeight="false" outlineLevel="0" collapsed="false">
      <c r="A56" s="13" t="s">
        <v>129</v>
      </c>
      <c r="B56" s="11" t="n">
        <f aca="false">Analyse!S23/(Analyse!M23/Analyse!J23*0.2)</f>
        <v>2.8675</v>
      </c>
      <c r="C56" s="11" t="n">
        <f aca="false">Analyse!S23/(Analyse!M23/Analyse!J23*0.3)</f>
        <v>1.91166666666667</v>
      </c>
      <c r="D56" s="11" t="n">
        <f aca="false">Analyse!S23/(Analyse!M23/Analyse!J23*0.4)</f>
        <v>1.43375</v>
      </c>
    </row>
    <row r="57" customFormat="false" ht="15" hidden="false" customHeight="false" outlineLevel="0" collapsed="false">
      <c r="A57" s="13" t="s">
        <v>132</v>
      </c>
      <c r="B57" s="11" t="n">
        <f aca="false">Analyse!S24/(Analyse!M24/Analyse!J24*0.2)</f>
        <v>1.74</v>
      </c>
      <c r="C57" s="11" t="n">
        <f aca="false">Analyse!S24/(Analyse!M24/Analyse!J24*0.3)</f>
        <v>1.16</v>
      </c>
      <c r="D57" s="11" t="n">
        <f aca="false">Analyse!S24/(Analyse!M24/Analyse!J24*0.4)</f>
        <v>0.87</v>
      </c>
    </row>
    <row r="58" customFormat="false" ht="15" hidden="false" customHeight="false" outlineLevel="0" collapsed="false">
      <c r="A58" s="13" t="s">
        <v>135</v>
      </c>
      <c r="B58" s="11" t="n">
        <f aca="false">Analyse!S25/(Analyse!M25/Analyse!J25*0.2)</f>
        <v>1.08875</v>
      </c>
      <c r="C58" s="11" t="n">
        <f aca="false">Analyse!S25/(Analyse!M25/Analyse!J25*0.3)</f>
        <v>0.725833333333333</v>
      </c>
      <c r="D58" s="11" t="n">
        <f aca="false">Analyse!S25/(Analyse!M25/Analyse!J25*0.4)</f>
        <v>0.544375</v>
      </c>
    </row>
    <row r="59" customFormat="false" ht="15" hidden="false" customHeight="false" outlineLevel="0" collapsed="false">
      <c r="A59" s="13" t="s">
        <v>138</v>
      </c>
      <c r="B59" s="11" t="n">
        <f aca="false">Analyse!S26/(Analyse!M26/Analyse!J26*0.2)</f>
        <v>1.16875</v>
      </c>
      <c r="C59" s="11" t="n">
        <f aca="false">Analyse!S26/(Analyse!M26/Analyse!J26*0.3)</f>
        <v>0.779166666666667</v>
      </c>
      <c r="D59" s="11" t="n">
        <f aca="false">Analyse!S26/(Analyse!M26/Analyse!J26*0.4)</f>
        <v>0.584375</v>
      </c>
    </row>
    <row r="60" customFormat="false" ht="15" hidden="false" customHeight="false" outlineLevel="0" collapsed="false">
      <c r="A60" s="13" t="s">
        <v>141</v>
      </c>
      <c r="B60" s="11" t="n">
        <f aca="false">Analyse!S27/(Analyse!M27/Analyse!J27*0.2)</f>
        <v>1.678125</v>
      </c>
      <c r="C60" s="11" t="n">
        <f aca="false">Analyse!S27/(Analyse!M27/Analyse!J27*0.3)</f>
        <v>1.11875</v>
      </c>
      <c r="D60" s="11" t="n">
        <f aca="false">Analyse!S27/(Analyse!M27/Analyse!J27*0.4)</f>
        <v>0.8390625</v>
      </c>
    </row>
    <row r="61" customFormat="false" ht="15" hidden="false" customHeight="false" outlineLevel="0" collapsed="false">
      <c r="A61" s="13" t="s">
        <v>144</v>
      </c>
      <c r="B61" s="11" t="n">
        <f aca="false">Analyse!S28/(Analyse!M28/Analyse!J28*0.2)</f>
        <v>1.6015625</v>
      </c>
      <c r="C61" s="11" t="n">
        <f aca="false">Analyse!S28/(Analyse!M28/Analyse!J28*0.3)</f>
        <v>1.06770833333333</v>
      </c>
      <c r="D61" s="11" t="n">
        <f aca="false">Analyse!S28/(Analyse!M28/Analyse!J28*0.4)</f>
        <v>0.80078125</v>
      </c>
    </row>
    <row r="62" customFormat="false" ht="15" hidden="false" customHeight="false" outlineLevel="0" collapsed="false">
      <c r="A62" s="13" t="s">
        <v>147</v>
      </c>
      <c r="B62" s="11" t="n">
        <f aca="false">Analyse!S29/(Analyse!M29/Analyse!J29*0.2)</f>
        <v>1.225</v>
      </c>
      <c r="C62" s="11" t="n">
        <f aca="false">Analyse!S29/(Analyse!M29/Analyse!J29*0.3)</f>
        <v>0.816666666666667</v>
      </c>
      <c r="D62" s="11" t="n">
        <f aca="false">Analyse!S29/(Analyse!M29/Analyse!J29*0.4)</f>
        <v>0.6125</v>
      </c>
    </row>
    <row r="63" customFormat="false" ht="15" hidden="false" customHeight="false" outlineLevel="0" collapsed="false">
      <c r="A63" s="13" t="s">
        <v>149</v>
      </c>
      <c r="B63" s="11" t="n">
        <f aca="false">Analyse!S30/(Analyse!M30/Analyse!J30*0.2)</f>
        <v>1.60625</v>
      </c>
      <c r="C63" s="11" t="n">
        <f aca="false">Analyse!S30/(Analyse!M30/Analyse!J30*0.3)</f>
        <v>1.07083333333333</v>
      </c>
      <c r="D63" s="11" t="n">
        <f aca="false">Analyse!S30/(Analyse!M30/Analyse!J30*0.4)</f>
        <v>0.803125</v>
      </c>
    </row>
    <row r="64" customFormat="false" ht="15" hidden="false" customHeight="false" outlineLevel="0" collapsed="false">
      <c r="A64" s="13" t="s">
        <v>152</v>
      </c>
      <c r="B64" s="11" t="n">
        <f aca="false">Analyse!S31/(Analyse!M31/Analyse!J31*0.2)</f>
        <v>1.885</v>
      </c>
      <c r="C64" s="11" t="n">
        <f aca="false">Analyse!S31/(Analyse!M31/Analyse!J31*0.3)</f>
        <v>1.25666666666667</v>
      </c>
      <c r="D64" s="11" t="n">
        <f aca="false">Analyse!S31/(Analyse!M31/Analyse!J31*0.4)</f>
        <v>0.9425</v>
      </c>
    </row>
    <row r="65" customFormat="false" ht="15" hidden="false" customHeight="false" outlineLevel="0" collapsed="false">
      <c r="A65" s="13" t="s">
        <v>155</v>
      </c>
      <c r="B65" s="11" t="n">
        <f aca="false">Analyse!S32/(Analyse!M32/Analyse!J32*0.2)</f>
        <v>2.59625</v>
      </c>
      <c r="C65" s="11" t="n">
        <f aca="false">Analyse!S32/(Analyse!M32/Analyse!J32*0.3)</f>
        <v>1.73083333333333</v>
      </c>
      <c r="D65" s="11" t="n">
        <f aca="false">Analyse!S32/(Analyse!M32/Analyse!J32*0.4)</f>
        <v>1.298125</v>
      </c>
    </row>
    <row r="66" customFormat="false" ht="15" hidden="false" customHeight="false" outlineLevel="0" collapsed="false">
      <c r="A66" s="13" t="s">
        <v>158</v>
      </c>
      <c r="B66" s="11" t="n">
        <f aca="false">Analyse!S33/(Analyse!M33/Analyse!J33*0.2)</f>
        <v>1.54375</v>
      </c>
      <c r="C66" s="11" t="n">
        <f aca="false">Analyse!S33/(Analyse!M33/Analyse!J33*0.3)</f>
        <v>1.02916666666667</v>
      </c>
      <c r="D66" s="11" t="n">
        <f aca="false">Analyse!S33/(Analyse!M33/Analyse!J33*0.4)</f>
        <v>0.771875</v>
      </c>
    </row>
    <row r="67" customFormat="false" ht="15" hidden="false" customHeight="false" outlineLevel="0" collapsed="false">
      <c r="A67" s="13" t="s">
        <v>161</v>
      </c>
      <c r="B67" s="11" t="n">
        <f aca="false">Analyse!S34/(Analyse!M34/Analyse!J34*0.2)</f>
        <v>1.42375</v>
      </c>
      <c r="C67" s="11" t="n">
        <f aca="false">Analyse!S34/(Analyse!M34/Analyse!J34*0.3)</f>
        <v>0.949166666666667</v>
      </c>
      <c r="D67" s="11" t="n">
        <f aca="false">Analyse!S34/(Analyse!M34/Analyse!J34*0.4)</f>
        <v>0.711875</v>
      </c>
    </row>
  </sheetData>
  <conditionalFormatting sqref="P5:P34">
    <cfRule type="cellIs" priority="2" operator="greaterThan" aboveAverage="0" equalAverage="0" bottom="0" percent="0" rank="0" text="" dxfId="0">
      <formula>Parameters!$B$7</formula>
    </cfRule>
    <cfRule type="cellIs" priority="3" operator="between" aboveAverage="0" equalAverage="0" bottom="0" percent="0" rank="0" text="" dxfId="1">
      <formula>Parameters!$B$6</formula>
      <formula>Parameters!$B$7</formula>
    </cfRule>
    <cfRule type="cellIs" priority="4" operator="lessThan" aboveAverage="0" equalAverage="0" bottom="0" percent="0" rank="0" text="" dxfId="2">
      <formula>Parameters!$B$6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4" min="2" style="1" width="7"/>
    <col collapsed="false" customWidth="true" hidden="false" outlineLevel="0" max="5" min="5" style="1" width="9"/>
    <col collapsed="false" customWidth="true" hidden="false" outlineLevel="0" max="6" min="6" style="1" width="12"/>
    <col collapsed="false" customWidth="true" hidden="false" outlineLevel="0" max="7" min="7" style="1" width="11"/>
    <col collapsed="false" customWidth="true" hidden="false" outlineLevel="0" max="8" min="8" style="1" width="14"/>
    <col collapsed="false" customWidth="true" hidden="false" outlineLevel="0" max="9" min="9" style="1" width="11"/>
    <col collapsed="false" customWidth="true" hidden="false" outlineLevel="0" max="10" min="10" style="1" width="28"/>
  </cols>
  <sheetData>
    <row r="1" customFormat="false" ht="17.35" hidden="false" customHeight="false" outlineLevel="0" collapsed="false">
      <c r="A1" s="2" t="s">
        <v>312</v>
      </c>
    </row>
    <row r="2" customFormat="false" ht="15" hidden="false" customHeight="false" outlineLevel="0" collapsed="false">
      <c r="A2" s="3" t="s">
        <v>313</v>
      </c>
    </row>
    <row r="4" customFormat="false" ht="23.85" hidden="false" customHeight="false" outlineLevel="0" collapsed="false">
      <c r="A4" s="4" t="s">
        <v>22</v>
      </c>
      <c r="B4" s="4" t="s">
        <v>314</v>
      </c>
      <c r="C4" s="4" t="s">
        <v>315</v>
      </c>
      <c r="D4" s="4" t="s">
        <v>316</v>
      </c>
      <c r="E4" s="4" t="s">
        <v>317</v>
      </c>
      <c r="F4" s="4" t="s">
        <v>318</v>
      </c>
      <c r="G4" s="4" t="s">
        <v>319</v>
      </c>
      <c r="H4" s="4" t="s">
        <v>320</v>
      </c>
      <c r="I4" s="4" t="s">
        <v>319</v>
      </c>
      <c r="J4" s="4" t="s">
        <v>321</v>
      </c>
    </row>
    <row r="5" customFormat="false" ht="15" hidden="false" customHeight="false" outlineLevel="0" collapsed="false">
      <c r="A5" s="13" t="s">
        <v>73</v>
      </c>
      <c r="B5" s="7" t="n">
        <f aca="false">Inputs!C4</f>
        <v>0.85</v>
      </c>
      <c r="C5" s="7" t="n">
        <f aca="false">Inputs!D4</f>
        <v>0.55</v>
      </c>
      <c r="D5" s="11" t="n">
        <f aca="false">(Inputs!E4+Inputs!F4)/2</f>
        <v>0.7</v>
      </c>
      <c r="E5" s="7" t="n">
        <f aca="false">Inputs!G4</f>
        <v>0.4</v>
      </c>
      <c r="F5" s="29" t="n">
        <f aca="false">B5*C5*D5*(1-E5)</f>
        <v>0.19635</v>
      </c>
      <c r="G5" s="13" t="str">
        <f aca="false">IF(F5&lt;=0.07,"Low",IF(F5&lt;=0.15,"Moderate",IF(F5&lt;=0.25,"High","Critical")))</f>
        <v>High</v>
      </c>
      <c r="H5" s="29" t="n">
        <f aca="false">F5*(1-Inputs!K4*Inputs!L4)</f>
        <v>0.07854</v>
      </c>
      <c r="I5" s="13" t="str">
        <f aca="false">IF(H5&lt;=0.07,"Low",IF(H5&lt;=0.15,"Moderate",IF(H5&lt;=0.25,"High","Critical")))</f>
        <v>Moderate</v>
      </c>
      <c r="J5" s="13" t="str">
        <f aca="false">IF(H5&gt;Parameters!$B$11,"Board / ownership group",IF(H5&gt;Parameters!$B$10,"Executive leadership","CIO / Cybersecurity lead"))</f>
        <v>CIO / Cybersecurity lead</v>
      </c>
    </row>
    <row r="6" customFormat="false" ht="15" hidden="false" customHeight="false" outlineLevel="0" collapsed="false">
      <c r="A6" s="13" t="s">
        <v>79</v>
      </c>
      <c r="B6" s="7" t="n">
        <f aca="false">Inputs!C5</f>
        <v>0.75</v>
      </c>
      <c r="C6" s="7" t="n">
        <f aca="false">Inputs!D5</f>
        <v>0.5</v>
      </c>
      <c r="D6" s="11" t="n">
        <f aca="false">(Inputs!E5+Inputs!F5)/2</f>
        <v>0.825</v>
      </c>
      <c r="E6" s="7" t="n">
        <f aca="false">Inputs!G5</f>
        <v>0.35</v>
      </c>
      <c r="F6" s="29" t="n">
        <f aca="false">B6*C6*D6*(1-E6)</f>
        <v>0.20109375</v>
      </c>
      <c r="G6" s="13" t="str">
        <f aca="false">IF(F6&lt;=0.07,"Low",IF(F6&lt;=0.15,"Moderate",IF(F6&lt;=0.25,"High","Critical")))</f>
        <v>High</v>
      </c>
      <c r="H6" s="29" t="n">
        <f aca="false">F6*(1-Inputs!K5*Inputs!L5)</f>
        <v>0.087978515625</v>
      </c>
      <c r="I6" s="13" t="str">
        <f aca="false">IF(H6&lt;=0.07,"Low",IF(H6&lt;=0.15,"Moderate",IF(H6&lt;=0.25,"High","Critical")))</f>
        <v>Moderate</v>
      </c>
      <c r="J6" s="13" t="str">
        <f aca="false">IF(H6&gt;Parameters!$B$11,"Board / ownership group",IF(H6&gt;Parameters!$B$10,"Executive leadership","CIO / Cybersecurity lead"))</f>
        <v>CIO / Cybersecurity lead</v>
      </c>
    </row>
    <row r="7" customFormat="false" ht="15" hidden="false" customHeight="false" outlineLevel="0" collapsed="false">
      <c r="A7" s="13" t="s">
        <v>82</v>
      </c>
      <c r="B7" s="7" t="n">
        <f aca="false">Inputs!C6</f>
        <v>0.55</v>
      </c>
      <c r="C7" s="7" t="n">
        <f aca="false">Inputs!D6</f>
        <v>0.5</v>
      </c>
      <c r="D7" s="11" t="n">
        <f aca="false">(Inputs!E6+Inputs!F6)/2</f>
        <v>0.75</v>
      </c>
      <c r="E7" s="7" t="n">
        <f aca="false">Inputs!G6</f>
        <v>0.35</v>
      </c>
      <c r="F7" s="29" t="n">
        <f aca="false">B7*C7*D7*(1-E7)</f>
        <v>0.1340625</v>
      </c>
      <c r="G7" s="13" t="str">
        <f aca="false">IF(F7&lt;=0.07,"Low",IF(F7&lt;=0.15,"Moderate",IF(F7&lt;=0.25,"High","Critical")))</f>
        <v>Moderate</v>
      </c>
      <c r="H7" s="29" t="n">
        <f aca="false">F7*(1-Inputs!K6*Inputs!L6)</f>
        <v>0.0429</v>
      </c>
      <c r="I7" s="13" t="str">
        <f aca="false">IF(H7&lt;=0.07,"Low",IF(H7&lt;=0.15,"Moderate",IF(H7&lt;=0.25,"High","Critical")))</f>
        <v>Low</v>
      </c>
      <c r="J7" s="13" t="str">
        <f aca="false">IF(H7&gt;Parameters!$B$11,"Board / ownership group",IF(H7&gt;Parameters!$B$10,"Executive leadership","CIO / Cybersecurity lead"))</f>
        <v>CIO / Cybersecurity lead</v>
      </c>
    </row>
    <row r="8" customFormat="false" ht="15" hidden="false" customHeight="false" outlineLevel="0" collapsed="false">
      <c r="A8" s="13" t="s">
        <v>85</v>
      </c>
      <c r="B8" s="7" t="n">
        <f aca="false">Inputs!C7</f>
        <v>0.6</v>
      </c>
      <c r="C8" s="7" t="n">
        <f aca="false">Inputs!D7</f>
        <v>0.45</v>
      </c>
      <c r="D8" s="11" t="n">
        <f aca="false">(Inputs!E7+Inputs!F7)/2</f>
        <v>0.675</v>
      </c>
      <c r="E8" s="7" t="n">
        <f aca="false">Inputs!G7</f>
        <v>0.4</v>
      </c>
      <c r="F8" s="29" t="n">
        <f aca="false">B8*C8*D8*(1-E8)</f>
        <v>0.10935</v>
      </c>
      <c r="G8" s="13" t="str">
        <f aca="false">IF(F8&lt;=0.07,"Low",IF(F8&lt;=0.15,"Moderate",IF(F8&lt;=0.25,"High","Critical")))</f>
        <v>Moderate</v>
      </c>
      <c r="H8" s="29" t="n">
        <f aca="false">F8*(1-Inputs!K7*Inputs!L7)</f>
        <v>0.04428675</v>
      </c>
      <c r="I8" s="13" t="str">
        <f aca="false">IF(H8&lt;=0.07,"Low",IF(H8&lt;=0.15,"Moderate",IF(H8&lt;=0.25,"High","Critical")))</f>
        <v>Low</v>
      </c>
      <c r="J8" s="13" t="str">
        <f aca="false">IF(H8&gt;Parameters!$B$11,"Board / ownership group",IF(H8&gt;Parameters!$B$10,"Executive leadership","CIO / Cybersecurity lead"))</f>
        <v>CIO / Cybersecurity lead</v>
      </c>
    </row>
    <row r="9" customFormat="false" ht="15" hidden="false" customHeight="false" outlineLevel="0" collapsed="false">
      <c r="A9" s="13" t="s">
        <v>88</v>
      </c>
      <c r="B9" s="7" t="n">
        <f aca="false">Inputs!C8</f>
        <v>0.6</v>
      </c>
      <c r="C9" s="7" t="n">
        <f aca="false">Inputs!D8</f>
        <v>0.55</v>
      </c>
      <c r="D9" s="11" t="n">
        <f aca="false">(Inputs!E8+Inputs!F8)/2</f>
        <v>0.6</v>
      </c>
      <c r="E9" s="7" t="n">
        <f aca="false">Inputs!G8</f>
        <v>0.4</v>
      </c>
      <c r="F9" s="29" t="n">
        <f aca="false">B9*C9*D9*(1-E9)</f>
        <v>0.1188</v>
      </c>
      <c r="G9" s="13" t="str">
        <f aca="false">IF(F9&lt;=0.07,"Low",IF(F9&lt;=0.15,"Moderate",IF(F9&lt;=0.25,"High","Critical")))</f>
        <v>Moderate</v>
      </c>
      <c r="H9" s="29" t="n">
        <f aca="false">F9*(1-Inputs!K8*Inputs!L8)</f>
        <v>0.072468</v>
      </c>
      <c r="I9" s="13" t="str">
        <f aca="false">IF(H9&lt;=0.07,"Low",IF(H9&lt;=0.15,"Moderate",IF(H9&lt;=0.25,"High","Critical")))</f>
        <v>Moderate</v>
      </c>
      <c r="J9" s="13" t="str">
        <f aca="false">IF(H9&gt;Parameters!$B$11,"Board / ownership group",IF(H9&gt;Parameters!$B$10,"Executive leadership","CIO / Cybersecurity lead"))</f>
        <v>CIO / Cybersecurity lead</v>
      </c>
    </row>
    <row r="10" customFormat="false" ht="15" hidden="false" customHeight="false" outlineLevel="0" collapsed="false">
      <c r="A10" s="13" t="s">
        <v>91</v>
      </c>
      <c r="B10" s="7" t="n">
        <f aca="false">Inputs!C9</f>
        <v>0.8</v>
      </c>
      <c r="C10" s="7" t="n">
        <f aca="false">Inputs!D9</f>
        <v>0.5</v>
      </c>
      <c r="D10" s="11" t="n">
        <f aca="false">(Inputs!E9+Inputs!F9)/2</f>
        <v>0.75</v>
      </c>
      <c r="E10" s="7" t="n">
        <f aca="false">Inputs!G9</f>
        <v>0.4</v>
      </c>
      <c r="F10" s="29" t="n">
        <f aca="false">B10*C10*D10*(1-E10)</f>
        <v>0.18</v>
      </c>
      <c r="G10" s="13" t="str">
        <f aca="false">IF(F10&lt;=0.07,"Low",IF(F10&lt;=0.15,"Moderate",IF(F10&lt;=0.25,"High","Critical")))</f>
        <v>High</v>
      </c>
      <c r="H10" s="29" t="n">
        <f aca="false">F10*(1-Inputs!K9*Inputs!L9)</f>
        <v>0.0729</v>
      </c>
      <c r="I10" s="13" t="str">
        <f aca="false">IF(H10&lt;=0.07,"Low",IF(H10&lt;=0.15,"Moderate",IF(H10&lt;=0.25,"High","Critical")))</f>
        <v>Moderate</v>
      </c>
      <c r="J10" s="13" t="str">
        <f aca="false">IF(H10&gt;Parameters!$B$11,"Board / ownership group",IF(H10&gt;Parameters!$B$10,"Executive leadership","CIO / Cybersecurity lead"))</f>
        <v>CIO / Cybersecurity lead</v>
      </c>
    </row>
    <row r="11" customFormat="false" ht="15" hidden="false" customHeight="false" outlineLevel="0" collapsed="false">
      <c r="A11" s="13" t="s">
        <v>94</v>
      </c>
      <c r="B11" s="7" t="n">
        <f aca="false">Inputs!C10</f>
        <v>0.45</v>
      </c>
      <c r="C11" s="7" t="n">
        <f aca="false">Inputs!D10</f>
        <v>0.5</v>
      </c>
      <c r="D11" s="11" t="n">
        <f aca="false">(Inputs!E10+Inputs!F10)/2</f>
        <v>0.75</v>
      </c>
      <c r="E11" s="7" t="n">
        <f aca="false">Inputs!G10</f>
        <v>0.35</v>
      </c>
      <c r="F11" s="29" t="n">
        <f aca="false">B11*C11*D11*(1-E11)</f>
        <v>0.1096875</v>
      </c>
      <c r="G11" s="13" t="str">
        <f aca="false">IF(F11&lt;=0.07,"Low",IF(F11&lt;=0.15,"Moderate",IF(F11&lt;=0.25,"High","Critical")))</f>
        <v>Moderate</v>
      </c>
      <c r="H11" s="29" t="n">
        <f aca="false">F11*(1-Inputs!K10*Inputs!L10)</f>
        <v>0.06361875</v>
      </c>
      <c r="I11" s="13" t="str">
        <f aca="false">IF(H11&lt;=0.07,"Low",IF(H11&lt;=0.15,"Moderate",IF(H11&lt;=0.25,"High","Critical")))</f>
        <v>Low</v>
      </c>
      <c r="J11" s="13" t="str">
        <f aca="false">IF(H11&gt;Parameters!$B$11,"Board / ownership group",IF(H11&gt;Parameters!$B$10,"Executive leadership","CIO / Cybersecurity lead"))</f>
        <v>CIO / Cybersecurity lead</v>
      </c>
    </row>
    <row r="12" customFormat="false" ht="15" hidden="false" customHeight="false" outlineLevel="0" collapsed="false">
      <c r="A12" s="13" t="s">
        <v>97</v>
      </c>
      <c r="B12" s="7" t="n">
        <f aca="false">Inputs!C11</f>
        <v>0.8</v>
      </c>
      <c r="C12" s="7" t="n">
        <f aca="false">Inputs!D11</f>
        <v>0.6</v>
      </c>
      <c r="D12" s="11" t="n">
        <f aca="false">(Inputs!E11+Inputs!F11)/2</f>
        <v>0.75</v>
      </c>
      <c r="E12" s="7" t="n">
        <f aca="false">Inputs!G11</f>
        <v>0.3</v>
      </c>
      <c r="F12" s="29" t="n">
        <f aca="false">B12*C12*D12*(1-E12)</f>
        <v>0.252</v>
      </c>
      <c r="G12" s="13" t="str">
        <f aca="false">IF(F12&lt;=0.07,"Low",IF(F12&lt;=0.15,"Moderate",IF(F12&lt;=0.25,"High","Critical")))</f>
        <v>Critical</v>
      </c>
      <c r="H12" s="29" t="n">
        <f aca="false">F12*(1-Inputs!K11*Inputs!L11)</f>
        <v>0.11088</v>
      </c>
      <c r="I12" s="13" t="str">
        <f aca="false">IF(H12&lt;=0.07,"Low",IF(H12&lt;=0.15,"Moderate",IF(H12&lt;=0.25,"High","Critical")))</f>
        <v>Moderate</v>
      </c>
      <c r="J12" s="13" t="str">
        <f aca="false">IF(H12&gt;Parameters!$B$11,"Board / ownership group",IF(H12&gt;Parameters!$B$10,"Executive leadership","CIO / Cybersecurity lead"))</f>
        <v>CIO / Cybersecurity lead</v>
      </c>
    </row>
    <row r="13" customFormat="false" ht="15" hidden="false" customHeight="false" outlineLevel="0" collapsed="false">
      <c r="A13" s="13" t="s">
        <v>100</v>
      </c>
      <c r="B13" s="7" t="n">
        <f aca="false">Inputs!C12</f>
        <v>0.55</v>
      </c>
      <c r="C13" s="7" t="n">
        <f aca="false">Inputs!D12</f>
        <v>0.45</v>
      </c>
      <c r="D13" s="11" t="n">
        <f aca="false">(Inputs!E12+Inputs!F12)/2</f>
        <v>0.75</v>
      </c>
      <c r="E13" s="7" t="n">
        <f aca="false">Inputs!G12</f>
        <v>0.35</v>
      </c>
      <c r="F13" s="29" t="n">
        <f aca="false">B13*C13*D13*(1-E13)</f>
        <v>0.12065625</v>
      </c>
      <c r="G13" s="13" t="str">
        <f aca="false">IF(F13&lt;=0.07,"Low",IF(F13&lt;=0.15,"Moderate",IF(F13&lt;=0.25,"High","Critical")))</f>
        <v>Moderate</v>
      </c>
      <c r="H13" s="29" t="n">
        <f aca="false">F13*(1-Inputs!K12*Inputs!L12)</f>
        <v>0.07420359375</v>
      </c>
      <c r="I13" s="13" t="str">
        <f aca="false">IF(H13&lt;=0.07,"Low",IF(H13&lt;=0.15,"Moderate",IF(H13&lt;=0.25,"High","Critical")))</f>
        <v>Moderate</v>
      </c>
      <c r="J13" s="13" t="str">
        <f aca="false">IF(H13&gt;Parameters!$B$11,"Board / ownership group",IF(H13&gt;Parameters!$B$10,"Executive leadership","CIO / Cybersecurity lead"))</f>
        <v>CIO / Cybersecurity lead</v>
      </c>
    </row>
    <row r="14" customFormat="false" ht="15" hidden="false" customHeight="false" outlineLevel="0" collapsed="false">
      <c r="A14" s="13" t="s">
        <v>103</v>
      </c>
      <c r="B14" s="7" t="n">
        <f aca="false">Inputs!C13</f>
        <v>0.3</v>
      </c>
      <c r="C14" s="7" t="n">
        <f aca="false">Inputs!D13</f>
        <v>0.4</v>
      </c>
      <c r="D14" s="11" t="n">
        <f aca="false">(Inputs!E13+Inputs!F13)/2</f>
        <v>0.75</v>
      </c>
      <c r="E14" s="7" t="n">
        <f aca="false">Inputs!G13</f>
        <v>0.4</v>
      </c>
      <c r="F14" s="29" t="n">
        <f aca="false">B14*C14*D14*(1-E14)</f>
        <v>0.054</v>
      </c>
      <c r="G14" s="13" t="str">
        <f aca="false">IF(F14&lt;=0.07,"Low",IF(F14&lt;=0.15,"Moderate",IF(F14&lt;=0.25,"High","Critical")))</f>
        <v>Low</v>
      </c>
      <c r="H14" s="29" t="n">
        <f aca="false">F14*(1-Inputs!K13*Inputs!L13)</f>
        <v>0.02565</v>
      </c>
      <c r="I14" s="13" t="str">
        <f aca="false">IF(H14&lt;=0.07,"Low",IF(H14&lt;=0.15,"Moderate",IF(H14&lt;=0.25,"High","Critical")))</f>
        <v>Low</v>
      </c>
      <c r="J14" s="13" t="str">
        <f aca="false">IF(H14&gt;Parameters!$B$11,"Board / ownership group",IF(H14&gt;Parameters!$B$10,"Executive leadership","CIO / Cybersecurity lead"))</f>
        <v>CIO / Cybersecurity lead</v>
      </c>
    </row>
    <row r="15" customFormat="false" ht="15" hidden="false" customHeight="false" outlineLevel="0" collapsed="false">
      <c r="A15" s="13" t="s">
        <v>106</v>
      </c>
      <c r="B15" s="7" t="n">
        <f aca="false">Inputs!C14</f>
        <v>0.45</v>
      </c>
      <c r="C15" s="7" t="n">
        <f aca="false">Inputs!D14</f>
        <v>0.45</v>
      </c>
      <c r="D15" s="11" t="n">
        <f aca="false">(Inputs!E14+Inputs!F14)/2</f>
        <v>0.65</v>
      </c>
      <c r="E15" s="7" t="n">
        <f aca="false">Inputs!G14</f>
        <v>0.4</v>
      </c>
      <c r="F15" s="29" t="n">
        <f aca="false">B15*C15*D15*(1-E15)</f>
        <v>0.078975</v>
      </c>
      <c r="G15" s="13" t="str">
        <f aca="false">IF(F15&lt;=0.07,"Low",IF(F15&lt;=0.15,"Moderate",IF(F15&lt;=0.25,"High","Critical")))</f>
        <v>Moderate</v>
      </c>
      <c r="H15" s="29" t="n">
        <f aca="false">F15*(1-Inputs!K14*Inputs!L14)</f>
        <v>0.03869775</v>
      </c>
      <c r="I15" s="13" t="str">
        <f aca="false">IF(H15&lt;=0.07,"Low",IF(H15&lt;=0.15,"Moderate",IF(H15&lt;=0.25,"High","Critical")))</f>
        <v>Low</v>
      </c>
      <c r="J15" s="13" t="str">
        <f aca="false">IF(H15&gt;Parameters!$B$11,"Board / ownership group",IF(H15&gt;Parameters!$B$10,"Executive leadership","CIO / Cybersecurity lead"))</f>
        <v>CIO / Cybersecurity lead</v>
      </c>
    </row>
    <row r="16" customFormat="false" ht="15" hidden="false" customHeight="false" outlineLevel="0" collapsed="false">
      <c r="A16" s="13" t="s">
        <v>109</v>
      </c>
      <c r="B16" s="7" t="n">
        <f aca="false">Inputs!C15</f>
        <v>0.4</v>
      </c>
      <c r="C16" s="7" t="n">
        <f aca="false">Inputs!D15</f>
        <v>0.45</v>
      </c>
      <c r="D16" s="11" t="n">
        <f aca="false">(Inputs!E15+Inputs!F15)/2</f>
        <v>0.575</v>
      </c>
      <c r="E16" s="7" t="n">
        <f aca="false">Inputs!G15</f>
        <v>0.4</v>
      </c>
      <c r="F16" s="29" t="n">
        <f aca="false">B16*C16*D16*(1-E16)</f>
        <v>0.0621</v>
      </c>
      <c r="G16" s="13" t="str">
        <f aca="false">IF(F16&lt;=0.07,"Low",IF(F16&lt;=0.15,"Moderate",IF(F16&lt;=0.25,"High","Critical")))</f>
        <v>Low</v>
      </c>
      <c r="H16" s="29" t="n">
        <f aca="false">F16*(1-Inputs!K15*Inputs!L15)</f>
        <v>0.029808</v>
      </c>
      <c r="I16" s="13" t="str">
        <f aca="false">IF(H16&lt;=0.07,"Low",IF(H16&lt;=0.15,"Moderate",IF(H16&lt;=0.25,"High","Critical")))</f>
        <v>Low</v>
      </c>
      <c r="J16" s="13" t="str">
        <f aca="false">IF(H16&gt;Parameters!$B$11,"Board / ownership group",IF(H16&gt;Parameters!$B$10,"Executive leadership","CIO / Cybersecurity lead"))</f>
        <v>CIO / Cybersecurity lead</v>
      </c>
    </row>
    <row r="17" customFormat="false" ht="15" hidden="false" customHeight="false" outlineLevel="0" collapsed="false">
      <c r="A17" s="13" t="s">
        <v>112</v>
      </c>
      <c r="B17" s="7" t="n">
        <f aca="false">Inputs!C16</f>
        <v>0.5</v>
      </c>
      <c r="C17" s="7" t="n">
        <f aca="false">Inputs!D16</f>
        <v>0.6</v>
      </c>
      <c r="D17" s="11" t="n">
        <f aca="false">(Inputs!E16+Inputs!F16)/2</f>
        <v>0.425</v>
      </c>
      <c r="E17" s="7" t="n">
        <f aca="false">Inputs!G16</f>
        <v>0.45</v>
      </c>
      <c r="F17" s="29" t="n">
        <f aca="false">B17*C17*D17*(1-E17)</f>
        <v>0.070125</v>
      </c>
      <c r="G17" s="13" t="str">
        <f aca="false">IF(F17&lt;=0.07,"Low",IF(F17&lt;=0.15,"Moderate",IF(F17&lt;=0.25,"High","Critical")))</f>
        <v>Moderate</v>
      </c>
      <c r="H17" s="29" t="n">
        <f aca="false">F17*(1-Inputs!K16*Inputs!L16)</f>
        <v>0.030855</v>
      </c>
      <c r="I17" s="13" t="str">
        <f aca="false">IF(H17&lt;=0.07,"Low",IF(H17&lt;=0.15,"Moderate",IF(H17&lt;=0.25,"High","Critical")))</f>
        <v>Low</v>
      </c>
      <c r="J17" s="13" t="str">
        <f aca="false">IF(H17&gt;Parameters!$B$11,"Board / ownership group",IF(H17&gt;Parameters!$B$10,"Executive leadership","CIO / Cybersecurity lead"))</f>
        <v>CIO / Cybersecurity lead</v>
      </c>
    </row>
    <row r="18" customFormat="false" ht="15" hidden="false" customHeight="false" outlineLevel="0" collapsed="false">
      <c r="A18" s="13" t="s">
        <v>115</v>
      </c>
      <c r="B18" s="7" t="n">
        <f aca="false">Inputs!C17</f>
        <v>0.65</v>
      </c>
      <c r="C18" s="7" t="n">
        <f aca="false">Inputs!D17</f>
        <v>0.4</v>
      </c>
      <c r="D18" s="11" t="n">
        <f aca="false">(Inputs!E17+Inputs!F17)/2</f>
        <v>0.475</v>
      </c>
      <c r="E18" s="7" t="n">
        <f aca="false">Inputs!G17</f>
        <v>0.45</v>
      </c>
      <c r="F18" s="29" t="n">
        <f aca="false">B18*C18*D18*(1-E18)</f>
        <v>0.067925</v>
      </c>
      <c r="G18" s="13" t="str">
        <f aca="false">IF(F18&lt;=0.07,"Low",IF(F18&lt;=0.15,"Moderate",IF(F18&lt;=0.25,"High","Critical")))</f>
        <v>Low</v>
      </c>
      <c r="H18" s="29" t="n">
        <f aca="false">F18*(1-Inputs!K17*Inputs!L17)</f>
        <v>0.035321</v>
      </c>
      <c r="I18" s="13" t="str">
        <f aca="false">IF(H18&lt;=0.07,"Low",IF(H18&lt;=0.15,"Moderate",IF(H18&lt;=0.25,"High","Critical")))</f>
        <v>Low</v>
      </c>
      <c r="J18" s="13" t="str">
        <f aca="false">IF(H18&gt;Parameters!$B$11,"Board / ownership group",IF(H18&gt;Parameters!$B$10,"Executive leadership","CIO / Cybersecurity lead"))</f>
        <v>CIO / Cybersecurity lead</v>
      </c>
    </row>
    <row r="19" customFormat="false" ht="15" hidden="false" customHeight="false" outlineLevel="0" collapsed="false">
      <c r="A19" s="13" t="s">
        <v>118</v>
      </c>
      <c r="B19" s="7" t="n">
        <f aca="false">Inputs!C18</f>
        <v>0.7</v>
      </c>
      <c r="C19" s="7" t="n">
        <f aca="false">Inputs!D18</f>
        <v>0.3</v>
      </c>
      <c r="D19" s="11" t="n">
        <f aca="false">(Inputs!E18+Inputs!F18)/2</f>
        <v>0.4</v>
      </c>
      <c r="E19" s="7" t="n">
        <f aca="false">Inputs!G18</f>
        <v>0.45</v>
      </c>
      <c r="F19" s="29" t="n">
        <f aca="false">B19*C19*D19*(1-E19)</f>
        <v>0.0462</v>
      </c>
      <c r="G19" s="13" t="str">
        <f aca="false">IF(F19&lt;=0.07,"Low",IF(F19&lt;=0.15,"Moderate",IF(F19&lt;=0.25,"High","Critical")))</f>
        <v>Low</v>
      </c>
      <c r="H19" s="29" t="n">
        <f aca="false">F19*(1-Inputs!K18*Inputs!L18)</f>
        <v>0.01848</v>
      </c>
      <c r="I19" s="13" t="str">
        <f aca="false">IF(H19&lt;=0.07,"Low",IF(H19&lt;=0.15,"Moderate",IF(H19&lt;=0.25,"High","Critical")))</f>
        <v>Low</v>
      </c>
      <c r="J19" s="13" t="str">
        <f aca="false">IF(H19&gt;Parameters!$B$11,"Board / ownership group",IF(H19&gt;Parameters!$B$10,"Executive leadership","CIO / Cybersecurity lead"))</f>
        <v>CIO / Cybersecurity lead</v>
      </c>
    </row>
    <row r="20" customFormat="false" ht="15" hidden="false" customHeight="false" outlineLevel="0" collapsed="false">
      <c r="A20" s="13" t="s">
        <v>121</v>
      </c>
      <c r="B20" s="7" t="n">
        <f aca="false">Inputs!C19</f>
        <v>0.35</v>
      </c>
      <c r="C20" s="7" t="n">
        <f aca="false">Inputs!D19</f>
        <v>0.5</v>
      </c>
      <c r="D20" s="11" t="n">
        <f aca="false">(Inputs!E19+Inputs!F19)/2</f>
        <v>0.7</v>
      </c>
      <c r="E20" s="7" t="n">
        <f aca="false">Inputs!G19</f>
        <v>0.35</v>
      </c>
      <c r="F20" s="29" t="n">
        <f aca="false">B20*C20*D20*(1-E20)</f>
        <v>0.079625</v>
      </c>
      <c r="G20" s="13" t="str">
        <f aca="false">IF(F20&lt;=0.07,"Low",IF(F20&lt;=0.15,"Moderate",IF(F20&lt;=0.25,"High","Critical")))</f>
        <v>Moderate</v>
      </c>
      <c r="H20" s="29" t="n">
        <f aca="false">F20*(1-Inputs!K19*Inputs!L19)</f>
        <v>0.043395625</v>
      </c>
      <c r="I20" s="13" t="str">
        <f aca="false">IF(H20&lt;=0.07,"Low",IF(H20&lt;=0.15,"Moderate",IF(H20&lt;=0.25,"High","Critical")))</f>
        <v>Low</v>
      </c>
      <c r="J20" s="13" t="str">
        <f aca="false">IF(H20&gt;Parameters!$B$11,"Board / ownership group",IF(H20&gt;Parameters!$B$10,"Executive leadership","CIO / Cybersecurity lead"))</f>
        <v>CIO / Cybersecurity lead</v>
      </c>
    </row>
    <row r="21" customFormat="false" ht="15" hidden="false" customHeight="false" outlineLevel="0" collapsed="false">
      <c r="A21" s="13" t="s">
        <v>124</v>
      </c>
      <c r="B21" s="7" t="n">
        <f aca="false">Inputs!C20</f>
        <v>0.45</v>
      </c>
      <c r="C21" s="7" t="n">
        <f aca="false">Inputs!D20</f>
        <v>0.45</v>
      </c>
      <c r="D21" s="11" t="n">
        <f aca="false">(Inputs!E20+Inputs!F20)/2</f>
        <v>0.55</v>
      </c>
      <c r="E21" s="7" t="n">
        <f aca="false">Inputs!G20</f>
        <v>0.4</v>
      </c>
      <c r="F21" s="29" t="n">
        <f aca="false">B21*C21*D21*(1-E21)</f>
        <v>0.066825</v>
      </c>
      <c r="G21" s="13" t="str">
        <f aca="false">IF(F21&lt;=0.07,"Low",IF(F21&lt;=0.15,"Moderate",IF(F21&lt;=0.25,"High","Critical")))</f>
        <v>Low</v>
      </c>
      <c r="H21" s="29" t="n">
        <f aca="false">F21*(1-Inputs!K20*Inputs!L20)</f>
        <v>0.03408075</v>
      </c>
      <c r="I21" s="13" t="str">
        <f aca="false">IF(H21&lt;=0.07,"Low",IF(H21&lt;=0.15,"Moderate",IF(H21&lt;=0.25,"High","Critical")))</f>
        <v>Low</v>
      </c>
      <c r="J21" s="13" t="str">
        <f aca="false">IF(H21&gt;Parameters!$B$11,"Board / ownership group",IF(H21&gt;Parameters!$B$10,"Executive leadership","CIO / Cybersecurity lead"))</f>
        <v>CIO / Cybersecurity lead</v>
      </c>
    </row>
    <row r="22" customFormat="false" ht="15" hidden="false" customHeight="false" outlineLevel="0" collapsed="false">
      <c r="A22" s="13" t="s">
        <v>127</v>
      </c>
      <c r="B22" s="7" t="n">
        <f aca="false">Inputs!C21</f>
        <v>0.5</v>
      </c>
      <c r="C22" s="7" t="n">
        <f aca="false">Inputs!D21</f>
        <v>0.35</v>
      </c>
      <c r="D22" s="11" t="n">
        <f aca="false">(Inputs!E21+Inputs!F21)/2</f>
        <v>0.675</v>
      </c>
      <c r="E22" s="7" t="n">
        <f aca="false">Inputs!G21</f>
        <v>0.4</v>
      </c>
      <c r="F22" s="29" t="n">
        <f aca="false">B22*C22*D22*(1-E22)</f>
        <v>0.070875</v>
      </c>
      <c r="G22" s="13" t="str">
        <f aca="false">IF(F22&lt;=0.07,"Low",IF(F22&lt;=0.15,"Moderate",IF(F22&lt;=0.25,"High","Critical")))</f>
        <v>Moderate</v>
      </c>
      <c r="H22" s="29" t="n">
        <f aca="false">F22*(1-Inputs!K21*Inputs!L21)</f>
        <v>0.036855</v>
      </c>
      <c r="I22" s="13" t="str">
        <f aca="false">IF(H22&lt;=0.07,"Low",IF(H22&lt;=0.15,"Moderate",IF(H22&lt;=0.25,"High","Critical")))</f>
        <v>Low</v>
      </c>
      <c r="J22" s="13" t="str">
        <f aca="false">IF(H22&gt;Parameters!$B$11,"Board / ownership group",IF(H22&gt;Parameters!$B$10,"Executive leadership","CIO / Cybersecurity lead"))</f>
        <v>CIO / Cybersecurity lead</v>
      </c>
    </row>
    <row r="23" customFormat="false" ht="15" hidden="false" customHeight="false" outlineLevel="0" collapsed="false">
      <c r="A23" s="13" t="s">
        <v>129</v>
      </c>
      <c r="B23" s="7" t="n">
        <f aca="false">Inputs!C22</f>
        <v>0.25</v>
      </c>
      <c r="C23" s="7" t="n">
        <f aca="false">Inputs!D22</f>
        <v>0.5</v>
      </c>
      <c r="D23" s="11" t="n">
        <f aca="false">(Inputs!E22+Inputs!F22)/2</f>
        <v>0.775</v>
      </c>
      <c r="E23" s="7" t="n">
        <f aca="false">Inputs!G22</f>
        <v>0.35</v>
      </c>
      <c r="F23" s="29" t="n">
        <f aca="false">B23*C23*D23*(1-E23)</f>
        <v>0.06296875</v>
      </c>
      <c r="G23" s="13" t="str">
        <f aca="false">IF(F23&lt;=0.07,"Low",IF(F23&lt;=0.15,"Moderate",IF(F23&lt;=0.25,"High","Critical")))</f>
        <v>Low</v>
      </c>
      <c r="H23" s="29" t="n">
        <f aca="false">F23*(1-Inputs!K22*Inputs!L22)</f>
        <v>0.046596875</v>
      </c>
      <c r="I23" s="13" t="str">
        <f aca="false">IF(H23&lt;=0.07,"Low",IF(H23&lt;=0.15,"Moderate",IF(H23&lt;=0.25,"High","Critical")))</f>
        <v>Low</v>
      </c>
      <c r="J23" s="13" t="str">
        <f aca="false">IF(H23&gt;Parameters!$B$11,"Board / ownership group",IF(H23&gt;Parameters!$B$10,"Executive leadership","CIO / Cybersecurity lead"))</f>
        <v>CIO / Cybersecurity lead</v>
      </c>
    </row>
    <row r="24" customFormat="false" ht="15" hidden="false" customHeight="false" outlineLevel="0" collapsed="false">
      <c r="A24" s="13" t="s">
        <v>132</v>
      </c>
      <c r="B24" s="7" t="n">
        <f aca="false">Inputs!C23</f>
        <v>0.55</v>
      </c>
      <c r="C24" s="7" t="n">
        <f aca="false">Inputs!D23</f>
        <v>0.4</v>
      </c>
      <c r="D24" s="11" t="n">
        <f aca="false">(Inputs!E23+Inputs!F23)/2</f>
        <v>0.725</v>
      </c>
      <c r="E24" s="7" t="n">
        <f aca="false">Inputs!G23</f>
        <v>0.4</v>
      </c>
      <c r="F24" s="29" t="n">
        <f aca="false">B24*C24*D24*(1-E24)</f>
        <v>0.0957</v>
      </c>
      <c r="G24" s="13" t="str">
        <f aca="false">IF(F24&lt;=0.07,"Low",IF(F24&lt;=0.15,"Moderate",IF(F24&lt;=0.25,"High","Critical")))</f>
        <v>Moderate</v>
      </c>
      <c r="H24" s="29" t="n">
        <f aca="false">F24*(1-Inputs!K23*Inputs!L23)</f>
        <v>0.045936</v>
      </c>
      <c r="I24" s="13" t="str">
        <f aca="false">IF(H24&lt;=0.07,"Low",IF(H24&lt;=0.15,"Moderate",IF(H24&lt;=0.25,"High","Critical")))</f>
        <v>Low</v>
      </c>
      <c r="J24" s="13" t="str">
        <f aca="false">IF(H24&gt;Parameters!$B$11,"Board / ownership group",IF(H24&gt;Parameters!$B$10,"Executive leadership","CIO / Cybersecurity lead"))</f>
        <v>CIO / Cybersecurity lead</v>
      </c>
    </row>
    <row r="25" customFormat="false" ht="15" hidden="false" customHeight="false" outlineLevel="0" collapsed="false">
      <c r="A25" s="13" t="s">
        <v>135</v>
      </c>
      <c r="B25" s="7" t="n">
        <f aca="false">Inputs!C24</f>
        <v>0.85</v>
      </c>
      <c r="C25" s="7" t="n">
        <f aca="false">Inputs!D24</f>
        <v>0.5</v>
      </c>
      <c r="D25" s="11" t="n">
        <f aca="false">(Inputs!E24+Inputs!F24)/2</f>
        <v>0.325</v>
      </c>
      <c r="E25" s="7" t="n">
        <f aca="false">Inputs!G24</f>
        <v>0.45</v>
      </c>
      <c r="F25" s="29" t="n">
        <f aca="false">B25*C25*D25*(1-E25)</f>
        <v>0.07596875</v>
      </c>
      <c r="G25" s="13" t="str">
        <f aca="false">IF(F25&lt;=0.07,"Low",IF(F25&lt;=0.15,"Moderate",IF(F25&lt;=0.25,"High","Critical")))</f>
        <v>Moderate</v>
      </c>
      <c r="H25" s="29" t="n">
        <f aca="false">F25*(1-Inputs!K24*Inputs!L24)</f>
        <v>0.0508990625</v>
      </c>
      <c r="I25" s="13" t="str">
        <f aca="false">IF(H25&lt;=0.07,"Low",IF(H25&lt;=0.15,"Moderate",IF(H25&lt;=0.25,"High","Critical")))</f>
        <v>Low</v>
      </c>
      <c r="J25" s="13" t="str">
        <f aca="false">IF(H25&gt;Parameters!$B$11,"Board / ownership group",IF(H25&gt;Parameters!$B$10,"Executive leadership","CIO / Cybersecurity lead"))</f>
        <v>CIO / Cybersecurity lead</v>
      </c>
    </row>
    <row r="26" customFormat="false" ht="15" hidden="false" customHeight="false" outlineLevel="0" collapsed="false">
      <c r="A26" s="13" t="s">
        <v>138</v>
      </c>
      <c r="B26" s="7" t="n">
        <f aca="false">Inputs!C25</f>
        <v>0.35</v>
      </c>
      <c r="C26" s="7" t="n">
        <f aca="false">Inputs!D25</f>
        <v>0.35</v>
      </c>
      <c r="D26" s="11" t="n">
        <f aca="false">(Inputs!E25+Inputs!F25)/2</f>
        <v>0.425</v>
      </c>
      <c r="E26" s="7" t="n">
        <f aca="false">Inputs!G25</f>
        <v>0.45</v>
      </c>
      <c r="F26" s="29" t="n">
        <f aca="false">B26*C26*D26*(1-E26)</f>
        <v>0.028634375</v>
      </c>
      <c r="G26" s="13" t="str">
        <f aca="false">IF(F26&lt;=0.07,"Low",IF(F26&lt;=0.15,"Moderate",IF(F26&lt;=0.25,"High","Critical")))</f>
        <v>Low</v>
      </c>
      <c r="H26" s="29" t="n">
        <f aca="false">F26*(1-Inputs!K25*Inputs!L25)</f>
        <v>0.01574890625</v>
      </c>
      <c r="I26" s="13" t="str">
        <f aca="false">IF(H26&lt;=0.07,"Low",IF(H26&lt;=0.15,"Moderate",IF(H26&lt;=0.25,"High","Critical")))</f>
        <v>Low</v>
      </c>
      <c r="J26" s="13" t="str">
        <f aca="false">IF(H26&gt;Parameters!$B$11,"Board / ownership group",IF(H26&gt;Parameters!$B$10,"Executive leadership","CIO / Cybersecurity lead"))</f>
        <v>CIO / Cybersecurity lead</v>
      </c>
    </row>
    <row r="27" customFormat="false" ht="15" hidden="false" customHeight="false" outlineLevel="0" collapsed="false">
      <c r="A27" s="13" t="s">
        <v>141</v>
      </c>
      <c r="B27" s="7" t="n">
        <f aca="false">Inputs!C26</f>
        <v>0.7</v>
      </c>
      <c r="C27" s="7" t="n">
        <f aca="false">Inputs!D26</f>
        <v>0.35</v>
      </c>
      <c r="D27" s="11" t="n">
        <f aca="false">(Inputs!E26+Inputs!F26)/2</f>
        <v>0.75</v>
      </c>
      <c r="E27" s="7" t="n">
        <f aca="false">Inputs!G26</f>
        <v>0.4</v>
      </c>
      <c r="F27" s="29" t="n">
        <f aca="false">B27*C27*D27*(1-E27)</f>
        <v>0.11025</v>
      </c>
      <c r="G27" s="13" t="str">
        <f aca="false">IF(F27&lt;=0.07,"Low",IF(F27&lt;=0.15,"Moderate",IF(F27&lt;=0.25,"High","Critical")))</f>
        <v>Moderate</v>
      </c>
      <c r="H27" s="29" t="n">
        <f aca="false">F27*(1-Inputs!K26*Inputs!L26)</f>
        <v>0.049336875</v>
      </c>
      <c r="I27" s="13" t="str">
        <f aca="false">IF(H27&lt;=0.07,"Low",IF(H27&lt;=0.15,"Moderate",IF(H27&lt;=0.25,"High","Critical")))</f>
        <v>Low</v>
      </c>
      <c r="J27" s="13" t="str">
        <f aca="false">IF(H27&gt;Parameters!$B$11,"Board / ownership group",IF(H27&gt;Parameters!$B$10,"Executive leadership","CIO / Cybersecurity lead"))</f>
        <v>CIO / Cybersecurity lead</v>
      </c>
    </row>
    <row r="28" customFormat="false" ht="15" hidden="false" customHeight="false" outlineLevel="0" collapsed="false">
      <c r="A28" s="13" t="s">
        <v>144</v>
      </c>
      <c r="B28" s="7" t="n">
        <f aca="false">Inputs!C27</f>
        <v>0.35</v>
      </c>
      <c r="C28" s="7" t="n">
        <f aca="false">Inputs!D27</f>
        <v>0.4</v>
      </c>
      <c r="D28" s="11" t="n">
        <f aca="false">(Inputs!E27+Inputs!F27)/2</f>
        <v>0.625</v>
      </c>
      <c r="E28" s="7" t="n">
        <f aca="false">Inputs!G27</f>
        <v>0.4</v>
      </c>
      <c r="F28" s="29" t="n">
        <f aca="false">B28*C28*D28*(1-E28)</f>
        <v>0.0525</v>
      </c>
      <c r="G28" s="13" t="str">
        <f aca="false">IF(F28&lt;=0.07,"Low",IF(F28&lt;=0.15,"Moderate",IF(F28&lt;=0.25,"High","Critical")))</f>
        <v>Low</v>
      </c>
      <c r="H28" s="29" t="n">
        <f aca="false">F28*(1-Inputs!K27*Inputs!L27)</f>
        <v>0.02690625</v>
      </c>
      <c r="I28" s="13" t="str">
        <f aca="false">IF(H28&lt;=0.07,"Low",IF(H28&lt;=0.15,"Moderate",IF(H28&lt;=0.25,"High","Critical")))</f>
        <v>Low</v>
      </c>
      <c r="J28" s="13" t="str">
        <f aca="false">IF(H28&gt;Parameters!$B$11,"Board / ownership group",IF(H28&gt;Parameters!$B$10,"Executive leadership","CIO / Cybersecurity lead"))</f>
        <v>CIO / Cybersecurity lead</v>
      </c>
    </row>
    <row r="29" customFormat="false" ht="15" hidden="false" customHeight="false" outlineLevel="0" collapsed="false">
      <c r="A29" s="13" t="s">
        <v>147</v>
      </c>
      <c r="B29" s="7" t="n">
        <f aca="false">Inputs!C28</f>
        <v>0.4</v>
      </c>
      <c r="C29" s="7" t="n">
        <f aca="false">Inputs!D28</f>
        <v>0.35</v>
      </c>
      <c r="D29" s="11" t="n">
        <f aca="false">(Inputs!E28+Inputs!F28)/2</f>
        <v>0.5</v>
      </c>
      <c r="E29" s="7" t="n">
        <f aca="false">Inputs!G28</f>
        <v>0.45</v>
      </c>
      <c r="F29" s="29" t="n">
        <f aca="false">B29*C29*D29*(1-E29)</f>
        <v>0.0385</v>
      </c>
      <c r="G29" s="13" t="str">
        <f aca="false">IF(F29&lt;=0.07,"Low",IF(F29&lt;=0.15,"Moderate",IF(F29&lt;=0.25,"High","Critical")))</f>
        <v>Low</v>
      </c>
      <c r="H29" s="29" t="n">
        <f aca="false">F29*(1-Inputs!K28*Inputs!L28)</f>
        <v>0.018865</v>
      </c>
      <c r="I29" s="13" t="str">
        <f aca="false">IF(H29&lt;=0.07,"Low",IF(H29&lt;=0.15,"Moderate",IF(H29&lt;=0.25,"High","Critical")))</f>
        <v>Low</v>
      </c>
      <c r="J29" s="13" t="str">
        <f aca="false">IF(H29&gt;Parameters!$B$11,"Board / ownership group",IF(H29&gt;Parameters!$B$10,"Executive leadership","CIO / Cybersecurity lead"))</f>
        <v>CIO / Cybersecurity lead</v>
      </c>
    </row>
    <row r="30" customFormat="false" ht="15" hidden="false" customHeight="false" outlineLevel="0" collapsed="false">
      <c r="A30" s="13" t="s">
        <v>149</v>
      </c>
      <c r="B30" s="7" t="n">
        <f aca="false">Inputs!C29</f>
        <v>0.8</v>
      </c>
      <c r="C30" s="7" t="n">
        <f aca="false">Inputs!D29</f>
        <v>0.55</v>
      </c>
      <c r="D30" s="11" t="n">
        <f aca="false">(Inputs!E29+Inputs!F29)/2</f>
        <v>0.5</v>
      </c>
      <c r="E30" s="7" t="n">
        <f aca="false">Inputs!G29</f>
        <v>0.4</v>
      </c>
      <c r="F30" s="29" t="n">
        <f aca="false">B30*C30*D30*(1-E30)</f>
        <v>0.132</v>
      </c>
      <c r="G30" s="13" t="str">
        <f aca="false">IF(F30&lt;=0.07,"Low",IF(F30&lt;=0.15,"Moderate",IF(F30&lt;=0.25,"High","Critical")))</f>
        <v>Moderate</v>
      </c>
      <c r="H30" s="29" t="n">
        <f aca="false">F30*(1-Inputs!K29*Inputs!L29)</f>
        <v>0.08481</v>
      </c>
      <c r="I30" s="13" t="str">
        <f aca="false">IF(H30&lt;=0.07,"Low",IF(H30&lt;=0.15,"Moderate",IF(H30&lt;=0.25,"High","Critical")))</f>
        <v>Moderate</v>
      </c>
      <c r="J30" s="13" t="str">
        <f aca="false">IF(H30&gt;Parameters!$B$11,"Board / ownership group",IF(H30&gt;Parameters!$B$10,"Executive leadership","CIO / Cybersecurity lead"))</f>
        <v>CIO / Cybersecurity lead</v>
      </c>
    </row>
    <row r="31" customFormat="false" ht="15" hidden="false" customHeight="false" outlineLevel="0" collapsed="false">
      <c r="A31" s="13" t="s">
        <v>152</v>
      </c>
      <c r="B31" s="7" t="n">
        <f aca="false">Inputs!C30</f>
        <v>0.55</v>
      </c>
      <c r="C31" s="7" t="n">
        <f aca="false">Inputs!D30</f>
        <v>0.5</v>
      </c>
      <c r="D31" s="11" t="n">
        <f aca="false">(Inputs!E30+Inputs!F30)/2</f>
        <v>0.725</v>
      </c>
      <c r="E31" s="7" t="n">
        <f aca="false">Inputs!G30</f>
        <v>0.4</v>
      </c>
      <c r="F31" s="29" t="n">
        <f aca="false">B31*C31*D31*(1-E31)</f>
        <v>0.119625</v>
      </c>
      <c r="G31" s="13" t="str">
        <f aca="false">IF(F31&lt;=0.07,"Low",IF(F31&lt;=0.15,"Moderate",IF(F31&lt;=0.25,"High","Critical")))</f>
        <v>Moderate</v>
      </c>
      <c r="H31" s="29" t="n">
        <f aca="false">F31*(1-Inputs!K30*Inputs!L30)</f>
        <v>0.062205</v>
      </c>
      <c r="I31" s="13" t="str">
        <f aca="false">IF(H31&lt;=0.07,"Low",IF(H31&lt;=0.15,"Moderate",IF(H31&lt;=0.25,"High","Critical")))</f>
        <v>Low</v>
      </c>
      <c r="J31" s="13" t="str">
        <f aca="false">IF(H31&gt;Parameters!$B$11,"Board / ownership group",IF(H31&gt;Parameters!$B$10,"Executive leadership","CIO / Cybersecurity lead"))</f>
        <v>CIO / Cybersecurity lead</v>
      </c>
    </row>
    <row r="32" customFormat="false" ht="15" hidden="false" customHeight="false" outlineLevel="0" collapsed="false">
      <c r="A32" s="13" t="s">
        <v>155</v>
      </c>
      <c r="B32" s="7" t="n">
        <f aca="false">Inputs!C31</f>
        <v>0.15</v>
      </c>
      <c r="C32" s="7" t="n">
        <f aca="false">Inputs!D31</f>
        <v>0.6</v>
      </c>
      <c r="D32" s="11" t="n">
        <f aca="false">(Inputs!E31+Inputs!F31)/2</f>
        <v>0.775</v>
      </c>
      <c r="E32" s="7" t="n">
        <f aca="false">Inputs!G31</f>
        <v>0.35</v>
      </c>
      <c r="F32" s="29" t="n">
        <f aca="false">B32*C32*D32*(1-E32)</f>
        <v>0.0453375</v>
      </c>
      <c r="G32" s="13" t="str">
        <f aca="false">IF(F32&lt;=0.07,"Low",IF(F32&lt;=0.15,"Moderate",IF(F32&lt;=0.25,"High","Critical")))</f>
        <v>Low</v>
      </c>
      <c r="H32" s="29" t="n">
        <f aca="false">F32*(1-Inputs!K31*Inputs!L31)</f>
        <v>0.030376125</v>
      </c>
      <c r="I32" s="13" t="str">
        <f aca="false">IF(H32&lt;=0.07,"Low",IF(H32&lt;=0.15,"Moderate",IF(H32&lt;=0.25,"High","Critical")))</f>
        <v>Low</v>
      </c>
      <c r="J32" s="13" t="str">
        <f aca="false">IF(H32&gt;Parameters!$B$11,"Board / ownership group",IF(H32&gt;Parameters!$B$10,"Executive leadership","CIO / Cybersecurity lead"))</f>
        <v>CIO / Cybersecurity lead</v>
      </c>
    </row>
    <row r="33" customFormat="false" ht="15" hidden="false" customHeight="false" outlineLevel="0" collapsed="false">
      <c r="A33" s="13" t="s">
        <v>158</v>
      </c>
      <c r="B33" s="7" t="n">
        <f aca="false">Inputs!C32</f>
        <v>0.25</v>
      </c>
      <c r="C33" s="7" t="n">
        <f aca="false">Inputs!D32</f>
        <v>0.4</v>
      </c>
      <c r="D33" s="11" t="n">
        <f aca="false">(Inputs!E32+Inputs!F32)/2</f>
        <v>0.65</v>
      </c>
      <c r="E33" s="7" t="n">
        <f aca="false">Inputs!G32</f>
        <v>0.4</v>
      </c>
      <c r="F33" s="29" t="n">
        <f aca="false">B33*C33*D33*(1-E33)</f>
        <v>0.039</v>
      </c>
      <c r="G33" s="13" t="str">
        <f aca="false">IF(F33&lt;=0.07,"Low",IF(F33&lt;=0.15,"Moderate",IF(F33&lt;=0.25,"High","Critical")))</f>
        <v>Low</v>
      </c>
      <c r="H33" s="29" t="n">
        <f aca="false">F33*(1-Inputs!K32*Inputs!L32)</f>
        <v>0.018525</v>
      </c>
      <c r="I33" s="13" t="str">
        <f aca="false">IF(H33&lt;=0.07,"Low",IF(H33&lt;=0.15,"Moderate",IF(H33&lt;=0.25,"High","Critical")))</f>
        <v>Low</v>
      </c>
      <c r="J33" s="13" t="str">
        <f aca="false">IF(H33&gt;Parameters!$B$11,"Board / ownership group",IF(H33&gt;Parameters!$B$10,"Executive leadership","CIO / Cybersecurity lead"))</f>
        <v>CIO / Cybersecurity lead</v>
      </c>
    </row>
    <row r="34" customFormat="false" ht="15" hidden="false" customHeight="false" outlineLevel="0" collapsed="false">
      <c r="A34" s="13" t="s">
        <v>161</v>
      </c>
      <c r="B34" s="7" t="n">
        <f aca="false">Inputs!C33</f>
        <v>0.7</v>
      </c>
      <c r="C34" s="7" t="n">
        <f aca="false">Inputs!D33</f>
        <v>0.5</v>
      </c>
      <c r="D34" s="11" t="n">
        <f aca="false">(Inputs!E33+Inputs!F33)/2</f>
        <v>0.425</v>
      </c>
      <c r="E34" s="7" t="n">
        <f aca="false">Inputs!G33</f>
        <v>0.45</v>
      </c>
      <c r="F34" s="29" t="n">
        <f aca="false">B34*C34*D34*(1-E34)</f>
        <v>0.0818125</v>
      </c>
      <c r="G34" s="13" t="str">
        <f aca="false">IF(F34&lt;=0.07,"Low",IF(F34&lt;=0.15,"Moderate",IF(F34&lt;=0.25,"High","Critical")))</f>
        <v>Moderate</v>
      </c>
      <c r="H34" s="29" t="n">
        <f aca="false">F34*(1-Inputs!K33*Inputs!L33)</f>
        <v>0.054814375</v>
      </c>
      <c r="I34" s="13" t="str">
        <f aca="false">IF(H34&lt;=0.07,"Low",IF(H34&lt;=0.15,"Moderate",IF(H34&lt;=0.25,"High","Critical")))</f>
        <v>Low</v>
      </c>
      <c r="J34" s="13" t="str">
        <f aca="false">IF(H34&gt;Parameters!$B$11,"Board / ownership group",IF(H34&gt;Parameters!$B$10,"Executive leadership","CIO / Cybersecurity lead"))</f>
        <v>CIO / Cybersecurity lead</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4"/>
    <col collapsed="false" customWidth="true" hidden="false" outlineLevel="0" max="3" min="3" style="1" width="34"/>
    <col collapsed="false" customWidth="true" hidden="false" outlineLevel="0" max="4" min="4" style="1" width="70"/>
    <col collapsed="false" customWidth="true" hidden="false" outlineLevel="0" max="5" min="5" style="1" width="24"/>
    <col collapsed="false" customWidth="true" hidden="false" outlineLevel="0" max="6" min="6" style="1" width="50"/>
    <col collapsed="false" customWidth="true" hidden="false" outlineLevel="0" max="7" min="7" style="1" width="40"/>
    <col collapsed="false" customWidth="true" hidden="false" outlineLevel="0" max="8" min="8" style="1" width="50"/>
    <col collapsed="false" customWidth="true" hidden="false" outlineLevel="0" max="9" min="9" style="1" width="20"/>
    <col collapsed="false" customWidth="true" hidden="false" outlineLevel="0" max="10" min="10" style="1" width="22"/>
    <col collapsed="false" customWidth="true" hidden="false" outlineLevel="0" max="11" min="11" style="1" width="12"/>
    <col collapsed="false" customWidth="true" hidden="false" outlineLevel="0" max="12" min="12" style="1" width="60"/>
  </cols>
  <sheetData>
    <row r="1" customFormat="false" ht="15" hidden="false" customHeight="false" outlineLevel="0" collapsed="false">
      <c r="A1" s="4" t="s">
        <v>22</v>
      </c>
      <c r="B1" s="4" t="s">
        <v>322</v>
      </c>
      <c r="C1" s="4" t="s">
        <v>23</v>
      </c>
      <c r="D1" s="4" t="s">
        <v>323</v>
      </c>
      <c r="E1" s="4" t="s">
        <v>324</v>
      </c>
      <c r="F1" s="4" t="s">
        <v>325</v>
      </c>
      <c r="G1" s="4" t="s">
        <v>326</v>
      </c>
      <c r="H1" s="4" t="s">
        <v>327</v>
      </c>
      <c r="I1" s="4" t="s">
        <v>328</v>
      </c>
      <c r="J1" s="4" t="s">
        <v>329</v>
      </c>
      <c r="K1" s="4" t="s">
        <v>330</v>
      </c>
      <c r="L1" s="4" t="s">
        <v>331</v>
      </c>
    </row>
    <row r="2" customFormat="false" ht="79.85" hidden="false" customHeight="false" outlineLevel="0" collapsed="false">
      <c r="A2" s="20" t="s">
        <v>73</v>
      </c>
      <c r="B2" s="20" t="s">
        <v>332</v>
      </c>
      <c r="C2" s="20" t="s">
        <v>74</v>
      </c>
      <c r="D2" s="20" t="s">
        <v>333</v>
      </c>
      <c r="E2" s="20" t="s">
        <v>334</v>
      </c>
      <c r="F2" s="20" t="s">
        <v>335</v>
      </c>
      <c r="G2" s="20" t="s">
        <v>336</v>
      </c>
      <c r="H2" s="20" t="s">
        <v>337</v>
      </c>
      <c r="I2" s="20" t="s">
        <v>338</v>
      </c>
      <c r="J2" s="20" t="s">
        <v>255</v>
      </c>
      <c r="K2" s="20" t="s">
        <v>339</v>
      </c>
      <c r="L2" s="20" t="s">
        <v>340</v>
      </c>
    </row>
    <row r="3" customFormat="false" ht="91" hidden="false" customHeight="false" outlineLevel="0" collapsed="false">
      <c r="A3" s="20" t="s">
        <v>79</v>
      </c>
      <c r="B3" s="20" t="s">
        <v>341</v>
      </c>
      <c r="C3" s="20" t="s">
        <v>80</v>
      </c>
      <c r="D3" s="20" t="s">
        <v>342</v>
      </c>
      <c r="E3" s="20" t="s">
        <v>343</v>
      </c>
      <c r="F3" s="20" t="s">
        <v>344</v>
      </c>
      <c r="G3" s="20" t="s">
        <v>345</v>
      </c>
      <c r="H3" s="20" t="s">
        <v>346</v>
      </c>
      <c r="I3" s="20" t="s">
        <v>347</v>
      </c>
      <c r="J3" s="20" t="s">
        <v>348</v>
      </c>
      <c r="K3" s="20" t="s">
        <v>349</v>
      </c>
      <c r="L3" s="20" t="s">
        <v>350</v>
      </c>
    </row>
    <row r="4" customFormat="false" ht="46.25" hidden="false" customHeight="false" outlineLevel="0" collapsed="false">
      <c r="A4" s="20" t="s">
        <v>82</v>
      </c>
      <c r="B4" s="20" t="s">
        <v>351</v>
      </c>
      <c r="C4" s="20" t="s">
        <v>83</v>
      </c>
      <c r="D4" s="20" t="s">
        <v>352</v>
      </c>
      <c r="E4" s="20" t="s">
        <v>353</v>
      </c>
      <c r="F4" s="20" t="s">
        <v>354</v>
      </c>
      <c r="G4" s="20" t="s">
        <v>355</v>
      </c>
      <c r="H4" s="20" t="s">
        <v>356</v>
      </c>
      <c r="I4" s="20" t="s">
        <v>357</v>
      </c>
      <c r="J4" s="20" t="s">
        <v>255</v>
      </c>
      <c r="K4" s="20" t="s">
        <v>358</v>
      </c>
      <c r="L4" s="20" t="s">
        <v>359</v>
      </c>
    </row>
    <row r="5" customFormat="false" ht="46.25" hidden="false" customHeight="false" outlineLevel="0" collapsed="false">
      <c r="A5" s="20" t="s">
        <v>85</v>
      </c>
      <c r="B5" s="20" t="s">
        <v>360</v>
      </c>
      <c r="C5" s="20" t="s">
        <v>86</v>
      </c>
      <c r="D5" s="20" t="s">
        <v>361</v>
      </c>
      <c r="E5" s="20" t="s">
        <v>362</v>
      </c>
      <c r="F5" s="20" t="s">
        <v>363</v>
      </c>
      <c r="G5" s="20" t="s">
        <v>364</v>
      </c>
      <c r="H5" s="20" t="s">
        <v>365</v>
      </c>
      <c r="I5" s="20" t="s">
        <v>366</v>
      </c>
      <c r="J5" s="20" t="s">
        <v>367</v>
      </c>
      <c r="K5" s="20" t="s">
        <v>339</v>
      </c>
      <c r="L5" s="20" t="s">
        <v>368</v>
      </c>
    </row>
    <row r="6" customFormat="false" ht="46.25" hidden="false" customHeight="false" outlineLevel="0" collapsed="false">
      <c r="A6" s="20" t="s">
        <v>88</v>
      </c>
      <c r="B6" s="20" t="s">
        <v>369</v>
      </c>
      <c r="C6" s="20" t="s">
        <v>89</v>
      </c>
      <c r="D6" s="20" t="s">
        <v>370</v>
      </c>
      <c r="E6" s="20" t="s">
        <v>371</v>
      </c>
      <c r="F6" s="20" t="s">
        <v>372</v>
      </c>
      <c r="G6" s="20" t="s">
        <v>373</v>
      </c>
      <c r="H6" s="20" t="s">
        <v>374</v>
      </c>
      <c r="I6" s="20" t="s">
        <v>375</v>
      </c>
      <c r="J6" s="20" t="s">
        <v>376</v>
      </c>
      <c r="K6" s="20" t="s">
        <v>377</v>
      </c>
      <c r="L6" s="20" t="s">
        <v>378</v>
      </c>
    </row>
    <row r="7" customFormat="false" ht="46.25" hidden="false" customHeight="false" outlineLevel="0" collapsed="false">
      <c r="A7" s="20" t="s">
        <v>91</v>
      </c>
      <c r="B7" s="20" t="s">
        <v>379</v>
      </c>
      <c r="C7" s="20" t="s">
        <v>92</v>
      </c>
      <c r="D7" s="20" t="s">
        <v>380</v>
      </c>
      <c r="E7" s="20" t="s">
        <v>381</v>
      </c>
      <c r="F7" s="20" t="s">
        <v>382</v>
      </c>
      <c r="G7" s="20" t="s">
        <v>383</v>
      </c>
      <c r="H7" s="20" t="s">
        <v>384</v>
      </c>
      <c r="I7" s="20" t="s">
        <v>385</v>
      </c>
      <c r="J7" s="20" t="s">
        <v>255</v>
      </c>
      <c r="K7" s="20" t="s">
        <v>386</v>
      </c>
      <c r="L7" s="20" t="s">
        <v>387</v>
      </c>
    </row>
    <row r="8" customFormat="false" ht="57.45" hidden="false" customHeight="false" outlineLevel="0" collapsed="false">
      <c r="A8" s="20" t="s">
        <v>94</v>
      </c>
      <c r="B8" s="20" t="s">
        <v>388</v>
      </c>
      <c r="C8" s="20" t="s">
        <v>95</v>
      </c>
      <c r="D8" s="20" t="s">
        <v>389</v>
      </c>
      <c r="E8" s="20" t="s">
        <v>390</v>
      </c>
      <c r="F8" s="20" t="s">
        <v>391</v>
      </c>
      <c r="G8" s="20" t="s">
        <v>392</v>
      </c>
      <c r="H8" s="20" t="s">
        <v>393</v>
      </c>
      <c r="I8" s="20" t="s">
        <v>394</v>
      </c>
      <c r="J8" s="20" t="s">
        <v>395</v>
      </c>
      <c r="K8" s="20" t="s">
        <v>396</v>
      </c>
      <c r="L8" s="20" t="s">
        <v>397</v>
      </c>
    </row>
    <row r="9" customFormat="false" ht="68.65" hidden="false" customHeight="false" outlineLevel="0" collapsed="false">
      <c r="A9" s="20" t="s">
        <v>97</v>
      </c>
      <c r="B9" s="20" t="s">
        <v>398</v>
      </c>
      <c r="C9" s="20" t="s">
        <v>98</v>
      </c>
      <c r="D9" s="20" t="s">
        <v>399</v>
      </c>
      <c r="E9" s="20" t="s">
        <v>400</v>
      </c>
      <c r="F9" s="20" t="s">
        <v>401</v>
      </c>
      <c r="G9" s="20" t="s">
        <v>402</v>
      </c>
      <c r="H9" s="20" t="s">
        <v>403</v>
      </c>
      <c r="I9" s="20" t="s">
        <v>404</v>
      </c>
      <c r="J9" s="20" t="s">
        <v>187</v>
      </c>
      <c r="K9" s="20" t="s">
        <v>339</v>
      </c>
      <c r="L9" s="20" t="s">
        <v>405</v>
      </c>
    </row>
    <row r="10" customFormat="false" ht="57.45" hidden="false" customHeight="false" outlineLevel="0" collapsed="false">
      <c r="A10" s="20" t="s">
        <v>100</v>
      </c>
      <c r="B10" s="20" t="s">
        <v>406</v>
      </c>
      <c r="C10" s="20" t="s">
        <v>101</v>
      </c>
      <c r="D10" s="20" t="s">
        <v>407</v>
      </c>
      <c r="E10" s="20" t="s">
        <v>408</v>
      </c>
      <c r="F10" s="20" t="s">
        <v>409</v>
      </c>
      <c r="G10" s="20" t="s">
        <v>410</v>
      </c>
      <c r="H10" s="20" t="s">
        <v>411</v>
      </c>
      <c r="I10" s="20" t="s">
        <v>412</v>
      </c>
      <c r="J10" s="20" t="s">
        <v>413</v>
      </c>
      <c r="K10" s="20" t="s">
        <v>414</v>
      </c>
      <c r="L10" s="20" t="s">
        <v>415</v>
      </c>
    </row>
    <row r="11" customFormat="false" ht="46.25" hidden="false" customHeight="false" outlineLevel="0" collapsed="false">
      <c r="A11" s="20" t="s">
        <v>103</v>
      </c>
      <c r="B11" s="20" t="s">
        <v>416</v>
      </c>
      <c r="C11" s="20" t="s">
        <v>104</v>
      </c>
      <c r="D11" s="20" t="s">
        <v>417</v>
      </c>
      <c r="E11" s="20" t="s">
        <v>418</v>
      </c>
      <c r="F11" s="20" t="s">
        <v>419</v>
      </c>
      <c r="G11" s="20" t="s">
        <v>420</v>
      </c>
      <c r="H11" s="20" t="s">
        <v>421</v>
      </c>
      <c r="I11" s="20" t="s">
        <v>422</v>
      </c>
      <c r="J11" s="20" t="s">
        <v>423</v>
      </c>
      <c r="K11" s="20" t="s">
        <v>424</v>
      </c>
      <c r="L11" s="20" t="s">
        <v>425</v>
      </c>
    </row>
    <row r="12" customFormat="false" ht="46.25" hidden="false" customHeight="false" outlineLevel="0" collapsed="false">
      <c r="A12" s="20" t="s">
        <v>106</v>
      </c>
      <c r="B12" s="20" t="s">
        <v>426</v>
      </c>
      <c r="C12" s="20" t="s">
        <v>107</v>
      </c>
      <c r="D12" s="20" t="s">
        <v>427</v>
      </c>
      <c r="E12" s="20" t="s">
        <v>428</v>
      </c>
      <c r="F12" s="20" t="s">
        <v>429</v>
      </c>
      <c r="G12" s="20" t="s">
        <v>430</v>
      </c>
      <c r="H12" s="20" t="s">
        <v>431</v>
      </c>
      <c r="I12" s="20" t="s">
        <v>432</v>
      </c>
      <c r="J12" s="20" t="s">
        <v>251</v>
      </c>
      <c r="K12" s="20" t="s">
        <v>433</v>
      </c>
      <c r="L12" s="20" t="s">
        <v>434</v>
      </c>
    </row>
    <row r="13" customFormat="false" ht="46.25" hidden="false" customHeight="false" outlineLevel="0" collapsed="false">
      <c r="A13" s="20" t="s">
        <v>109</v>
      </c>
      <c r="B13" s="20" t="s">
        <v>435</v>
      </c>
      <c r="C13" s="20" t="s">
        <v>110</v>
      </c>
      <c r="D13" s="20" t="s">
        <v>436</v>
      </c>
      <c r="E13" s="20" t="s">
        <v>437</v>
      </c>
      <c r="F13" s="20" t="s">
        <v>438</v>
      </c>
      <c r="G13" s="20" t="s">
        <v>439</v>
      </c>
      <c r="H13" s="20" t="s">
        <v>440</v>
      </c>
      <c r="I13" s="20" t="s">
        <v>441</v>
      </c>
      <c r="J13" s="20" t="s">
        <v>199</v>
      </c>
      <c r="K13" s="20" t="s">
        <v>442</v>
      </c>
      <c r="L13" s="20" t="s">
        <v>443</v>
      </c>
    </row>
    <row r="14" customFormat="false" ht="46.25" hidden="false" customHeight="false" outlineLevel="0" collapsed="false">
      <c r="A14" s="20" t="s">
        <v>112</v>
      </c>
      <c r="B14" s="20" t="s">
        <v>444</v>
      </c>
      <c r="C14" s="20" t="s">
        <v>113</v>
      </c>
      <c r="D14" s="20" t="s">
        <v>445</v>
      </c>
      <c r="E14" s="20" t="s">
        <v>446</v>
      </c>
      <c r="F14" s="20" t="s">
        <v>447</v>
      </c>
      <c r="G14" s="20" t="s">
        <v>448</v>
      </c>
      <c r="H14" s="20" t="s">
        <v>449</v>
      </c>
      <c r="I14" s="20" t="s">
        <v>450</v>
      </c>
      <c r="J14" s="20" t="s">
        <v>255</v>
      </c>
      <c r="K14" s="20" t="s">
        <v>339</v>
      </c>
      <c r="L14" s="20" t="s">
        <v>451</v>
      </c>
    </row>
    <row r="15" customFormat="false" ht="46.25" hidden="false" customHeight="false" outlineLevel="0" collapsed="false">
      <c r="A15" s="20" t="s">
        <v>115</v>
      </c>
      <c r="B15" s="20" t="s">
        <v>452</v>
      </c>
      <c r="C15" s="20" t="s">
        <v>116</v>
      </c>
      <c r="D15" s="20" t="s">
        <v>453</v>
      </c>
      <c r="E15" s="20" t="s">
        <v>454</v>
      </c>
      <c r="F15" s="20" t="s">
        <v>455</v>
      </c>
      <c r="G15" s="20" t="s">
        <v>456</v>
      </c>
      <c r="H15" s="20" t="s">
        <v>457</v>
      </c>
      <c r="I15" s="20" t="s">
        <v>458</v>
      </c>
      <c r="J15" s="20" t="s">
        <v>459</v>
      </c>
      <c r="K15" s="20" t="s">
        <v>460</v>
      </c>
      <c r="L15" s="20" t="s">
        <v>461</v>
      </c>
    </row>
    <row r="16" customFormat="false" ht="35.05" hidden="false" customHeight="false" outlineLevel="0" collapsed="false">
      <c r="A16" s="20" t="s">
        <v>118</v>
      </c>
      <c r="B16" s="20" t="s">
        <v>462</v>
      </c>
      <c r="C16" s="20" t="s">
        <v>119</v>
      </c>
      <c r="D16" s="20" t="s">
        <v>463</v>
      </c>
      <c r="E16" s="20" t="s">
        <v>464</v>
      </c>
      <c r="F16" s="20" t="s">
        <v>465</v>
      </c>
      <c r="G16" s="20" t="s">
        <v>466</v>
      </c>
      <c r="H16" s="20" t="s">
        <v>467</v>
      </c>
      <c r="I16" s="20" t="s">
        <v>262</v>
      </c>
      <c r="J16" s="20" t="s">
        <v>264</v>
      </c>
      <c r="K16" s="20" t="s">
        <v>433</v>
      </c>
      <c r="L16" s="20" t="s">
        <v>468</v>
      </c>
    </row>
    <row r="17" customFormat="false" ht="46.25" hidden="false" customHeight="false" outlineLevel="0" collapsed="false">
      <c r="A17" s="20" t="s">
        <v>121</v>
      </c>
      <c r="B17" s="20" t="s">
        <v>469</v>
      </c>
      <c r="C17" s="20" t="s">
        <v>122</v>
      </c>
      <c r="D17" s="20" t="s">
        <v>470</v>
      </c>
      <c r="E17" s="20" t="s">
        <v>471</v>
      </c>
      <c r="F17" s="20" t="s">
        <v>472</v>
      </c>
      <c r="G17" s="20" t="s">
        <v>473</v>
      </c>
      <c r="H17" s="20" t="s">
        <v>474</v>
      </c>
      <c r="I17" s="20" t="s">
        <v>475</v>
      </c>
      <c r="J17" s="20" t="s">
        <v>476</v>
      </c>
      <c r="K17" s="20" t="s">
        <v>477</v>
      </c>
      <c r="L17" s="20" t="s">
        <v>478</v>
      </c>
    </row>
    <row r="18" customFormat="false" ht="35.05" hidden="false" customHeight="false" outlineLevel="0" collapsed="false">
      <c r="A18" s="20" t="s">
        <v>124</v>
      </c>
      <c r="B18" s="20" t="s">
        <v>479</v>
      </c>
      <c r="C18" s="20" t="s">
        <v>125</v>
      </c>
      <c r="D18" s="20" t="s">
        <v>480</v>
      </c>
      <c r="E18" s="20" t="s">
        <v>481</v>
      </c>
      <c r="F18" s="20" t="s">
        <v>482</v>
      </c>
      <c r="G18" s="20" t="s">
        <v>483</v>
      </c>
      <c r="H18" s="20" t="s">
        <v>484</v>
      </c>
      <c r="I18" s="20" t="s">
        <v>485</v>
      </c>
      <c r="J18" s="20" t="s">
        <v>486</v>
      </c>
      <c r="K18" s="20" t="s">
        <v>377</v>
      </c>
      <c r="L18" s="20" t="s">
        <v>487</v>
      </c>
    </row>
    <row r="19" customFormat="false" ht="35.05" hidden="false" customHeight="false" outlineLevel="0" collapsed="false">
      <c r="A19" s="20" t="s">
        <v>127</v>
      </c>
      <c r="B19" s="20" t="s">
        <v>488</v>
      </c>
      <c r="C19" s="20" t="s">
        <v>128</v>
      </c>
      <c r="D19" s="20" t="s">
        <v>489</v>
      </c>
      <c r="E19" s="20" t="s">
        <v>490</v>
      </c>
      <c r="F19" s="20" t="s">
        <v>491</v>
      </c>
      <c r="G19" s="20" t="s">
        <v>492</v>
      </c>
      <c r="H19" s="20" t="s">
        <v>493</v>
      </c>
      <c r="I19" s="20" t="s">
        <v>494</v>
      </c>
      <c r="J19" s="20" t="s">
        <v>495</v>
      </c>
      <c r="K19" s="20" t="s">
        <v>433</v>
      </c>
      <c r="L19" s="20" t="s">
        <v>496</v>
      </c>
    </row>
    <row r="20" customFormat="false" ht="46.25" hidden="false" customHeight="false" outlineLevel="0" collapsed="false">
      <c r="A20" s="20" t="s">
        <v>129</v>
      </c>
      <c r="B20" s="20" t="s">
        <v>497</v>
      </c>
      <c r="C20" s="20" t="s">
        <v>130</v>
      </c>
      <c r="D20" s="20" t="s">
        <v>498</v>
      </c>
      <c r="E20" s="20" t="s">
        <v>499</v>
      </c>
      <c r="F20" s="20" t="s">
        <v>500</v>
      </c>
      <c r="G20" s="20" t="s">
        <v>501</v>
      </c>
      <c r="H20" s="20" t="s">
        <v>502</v>
      </c>
      <c r="I20" s="20" t="s">
        <v>503</v>
      </c>
      <c r="J20" s="20" t="s">
        <v>504</v>
      </c>
      <c r="K20" s="20" t="s">
        <v>377</v>
      </c>
      <c r="L20" s="20" t="s">
        <v>505</v>
      </c>
    </row>
    <row r="21" customFormat="false" ht="46.25" hidden="false" customHeight="false" outlineLevel="0" collapsed="false">
      <c r="A21" s="20" t="s">
        <v>132</v>
      </c>
      <c r="B21" s="20" t="s">
        <v>506</v>
      </c>
      <c r="C21" s="20" t="s">
        <v>133</v>
      </c>
      <c r="D21" s="20" t="s">
        <v>507</v>
      </c>
      <c r="E21" s="20" t="s">
        <v>508</v>
      </c>
      <c r="F21" s="20" t="s">
        <v>509</v>
      </c>
      <c r="G21" s="20" t="s">
        <v>510</v>
      </c>
      <c r="H21" s="20" t="s">
        <v>511</v>
      </c>
      <c r="I21" s="20" t="s">
        <v>512</v>
      </c>
      <c r="J21" s="20" t="s">
        <v>255</v>
      </c>
      <c r="K21" s="20" t="s">
        <v>358</v>
      </c>
      <c r="L21" s="20" t="s">
        <v>513</v>
      </c>
    </row>
    <row r="22" customFormat="false" ht="46.25" hidden="false" customHeight="false" outlineLevel="0" collapsed="false">
      <c r="A22" s="20" t="s">
        <v>135</v>
      </c>
      <c r="B22" s="20" t="s">
        <v>514</v>
      </c>
      <c r="C22" s="20" t="s">
        <v>136</v>
      </c>
      <c r="D22" s="20" t="s">
        <v>515</v>
      </c>
      <c r="E22" s="20" t="s">
        <v>516</v>
      </c>
      <c r="F22" s="20" t="s">
        <v>517</v>
      </c>
      <c r="G22" s="20" t="s">
        <v>518</v>
      </c>
      <c r="H22" s="20" t="s">
        <v>519</v>
      </c>
      <c r="I22" s="20" t="s">
        <v>520</v>
      </c>
      <c r="J22" s="20" t="s">
        <v>376</v>
      </c>
      <c r="K22" s="20" t="s">
        <v>377</v>
      </c>
      <c r="L22" s="20" t="s">
        <v>521</v>
      </c>
    </row>
    <row r="23" customFormat="false" ht="46.25" hidden="false" customHeight="false" outlineLevel="0" collapsed="false">
      <c r="A23" s="20" t="s">
        <v>138</v>
      </c>
      <c r="B23" s="20" t="s">
        <v>522</v>
      </c>
      <c r="C23" s="20" t="s">
        <v>139</v>
      </c>
      <c r="D23" s="20" t="s">
        <v>523</v>
      </c>
      <c r="E23" s="20" t="s">
        <v>524</v>
      </c>
      <c r="F23" s="20" t="s">
        <v>525</v>
      </c>
      <c r="G23" s="20" t="s">
        <v>526</v>
      </c>
      <c r="H23" s="20" t="s">
        <v>527</v>
      </c>
      <c r="I23" s="20" t="s">
        <v>282</v>
      </c>
      <c r="J23" s="20" t="s">
        <v>528</v>
      </c>
      <c r="K23" s="20" t="s">
        <v>529</v>
      </c>
      <c r="L23" s="20" t="s">
        <v>530</v>
      </c>
    </row>
    <row r="24" customFormat="false" ht="46.25" hidden="false" customHeight="false" outlineLevel="0" collapsed="false">
      <c r="A24" s="20" t="s">
        <v>141</v>
      </c>
      <c r="B24" s="20" t="s">
        <v>531</v>
      </c>
      <c r="C24" s="20" t="s">
        <v>142</v>
      </c>
      <c r="D24" s="20" t="s">
        <v>532</v>
      </c>
      <c r="E24" s="20" t="s">
        <v>533</v>
      </c>
      <c r="F24" s="20" t="s">
        <v>534</v>
      </c>
      <c r="G24" s="20" t="s">
        <v>535</v>
      </c>
      <c r="H24" s="20" t="s">
        <v>536</v>
      </c>
      <c r="I24" s="20" t="s">
        <v>537</v>
      </c>
      <c r="J24" s="20" t="s">
        <v>199</v>
      </c>
      <c r="K24" s="20" t="s">
        <v>339</v>
      </c>
      <c r="L24" s="20" t="s">
        <v>538</v>
      </c>
    </row>
    <row r="25" customFormat="false" ht="35.05" hidden="false" customHeight="false" outlineLevel="0" collapsed="false">
      <c r="A25" s="20" t="s">
        <v>144</v>
      </c>
      <c r="B25" s="20" t="s">
        <v>539</v>
      </c>
      <c r="C25" s="20" t="s">
        <v>145</v>
      </c>
      <c r="D25" s="20" t="s">
        <v>540</v>
      </c>
      <c r="E25" s="20" t="s">
        <v>541</v>
      </c>
      <c r="F25" s="20" t="s">
        <v>542</v>
      </c>
      <c r="G25" s="20" t="s">
        <v>543</v>
      </c>
      <c r="H25" s="20" t="s">
        <v>544</v>
      </c>
      <c r="I25" s="20" t="s">
        <v>545</v>
      </c>
      <c r="J25" s="20" t="s">
        <v>546</v>
      </c>
      <c r="K25" s="20" t="s">
        <v>377</v>
      </c>
      <c r="L25" s="20" t="s">
        <v>547</v>
      </c>
    </row>
    <row r="26" customFormat="false" ht="35.05" hidden="false" customHeight="false" outlineLevel="0" collapsed="false">
      <c r="A26" s="20" t="s">
        <v>147</v>
      </c>
      <c r="B26" s="20" t="s">
        <v>548</v>
      </c>
      <c r="C26" s="20" t="s">
        <v>148</v>
      </c>
      <c r="D26" s="20" t="s">
        <v>549</v>
      </c>
      <c r="E26" s="20" t="s">
        <v>550</v>
      </c>
      <c r="F26" s="20" t="s">
        <v>551</v>
      </c>
      <c r="G26" s="20" t="s">
        <v>552</v>
      </c>
      <c r="H26" s="20" t="s">
        <v>553</v>
      </c>
      <c r="I26" s="20" t="s">
        <v>485</v>
      </c>
      <c r="J26" s="20" t="s">
        <v>554</v>
      </c>
      <c r="K26" s="20" t="s">
        <v>339</v>
      </c>
      <c r="L26" s="20" t="s">
        <v>555</v>
      </c>
    </row>
    <row r="27" customFormat="false" ht="46.25" hidden="false" customHeight="false" outlineLevel="0" collapsed="false">
      <c r="A27" s="20" t="s">
        <v>149</v>
      </c>
      <c r="B27" s="20" t="s">
        <v>556</v>
      </c>
      <c r="C27" s="20" t="s">
        <v>150</v>
      </c>
      <c r="D27" s="20" t="s">
        <v>557</v>
      </c>
      <c r="E27" s="20" t="s">
        <v>558</v>
      </c>
      <c r="F27" s="20" t="s">
        <v>559</v>
      </c>
      <c r="G27" s="20" t="s">
        <v>560</v>
      </c>
      <c r="H27" s="20" t="s">
        <v>561</v>
      </c>
      <c r="I27" s="20" t="s">
        <v>562</v>
      </c>
      <c r="J27" s="20" t="s">
        <v>563</v>
      </c>
      <c r="K27" s="20" t="s">
        <v>339</v>
      </c>
      <c r="L27" s="20" t="s">
        <v>564</v>
      </c>
    </row>
    <row r="28" customFormat="false" ht="46.25" hidden="false" customHeight="false" outlineLevel="0" collapsed="false">
      <c r="A28" s="20" t="s">
        <v>152</v>
      </c>
      <c r="B28" s="20" t="s">
        <v>565</v>
      </c>
      <c r="C28" s="20" t="s">
        <v>153</v>
      </c>
      <c r="D28" s="20" t="s">
        <v>566</v>
      </c>
      <c r="E28" s="20" t="s">
        <v>567</v>
      </c>
      <c r="F28" s="20" t="s">
        <v>568</v>
      </c>
      <c r="G28" s="20" t="s">
        <v>569</v>
      </c>
      <c r="H28" s="20" t="s">
        <v>570</v>
      </c>
      <c r="I28" s="20" t="s">
        <v>571</v>
      </c>
      <c r="J28" s="20" t="s">
        <v>264</v>
      </c>
      <c r="K28" s="20" t="s">
        <v>460</v>
      </c>
      <c r="L28" s="20" t="s">
        <v>572</v>
      </c>
    </row>
    <row r="29" customFormat="false" ht="46.25" hidden="false" customHeight="false" outlineLevel="0" collapsed="false">
      <c r="A29" s="20" t="s">
        <v>155</v>
      </c>
      <c r="B29" s="20" t="s">
        <v>573</v>
      </c>
      <c r="C29" s="20" t="s">
        <v>156</v>
      </c>
      <c r="D29" s="20" t="s">
        <v>574</v>
      </c>
      <c r="E29" s="20" t="s">
        <v>575</v>
      </c>
      <c r="F29" s="20" t="s">
        <v>576</v>
      </c>
      <c r="G29" s="20" t="s">
        <v>577</v>
      </c>
      <c r="H29" s="20" t="s">
        <v>578</v>
      </c>
      <c r="I29" s="20" t="s">
        <v>579</v>
      </c>
      <c r="J29" s="20" t="s">
        <v>580</v>
      </c>
      <c r="K29" s="20" t="s">
        <v>414</v>
      </c>
      <c r="L29" s="20" t="s">
        <v>581</v>
      </c>
    </row>
    <row r="30" customFormat="false" ht="35.05" hidden="false" customHeight="false" outlineLevel="0" collapsed="false">
      <c r="A30" s="20" t="s">
        <v>158</v>
      </c>
      <c r="B30" s="20" t="s">
        <v>582</v>
      </c>
      <c r="C30" s="20" t="s">
        <v>159</v>
      </c>
      <c r="D30" s="20" t="s">
        <v>583</v>
      </c>
      <c r="E30" s="20" t="s">
        <v>584</v>
      </c>
      <c r="F30" s="20" t="s">
        <v>585</v>
      </c>
      <c r="G30" s="20" t="s">
        <v>586</v>
      </c>
      <c r="H30" s="20" t="s">
        <v>587</v>
      </c>
      <c r="I30" s="20" t="s">
        <v>588</v>
      </c>
      <c r="J30" s="20" t="s">
        <v>589</v>
      </c>
      <c r="K30" s="20" t="s">
        <v>590</v>
      </c>
      <c r="L30" s="20" t="s">
        <v>591</v>
      </c>
    </row>
    <row r="31" customFormat="false" ht="46.25" hidden="false" customHeight="false" outlineLevel="0" collapsed="false">
      <c r="A31" s="20" t="s">
        <v>161</v>
      </c>
      <c r="B31" s="20" t="s">
        <v>592</v>
      </c>
      <c r="C31" s="20" t="s">
        <v>162</v>
      </c>
      <c r="D31" s="20" t="s">
        <v>593</v>
      </c>
      <c r="E31" s="20" t="s">
        <v>594</v>
      </c>
      <c r="F31" s="20" t="s">
        <v>595</v>
      </c>
      <c r="G31" s="20" t="s">
        <v>596</v>
      </c>
      <c r="H31" s="20" t="s">
        <v>597</v>
      </c>
      <c r="I31" s="20" t="s">
        <v>598</v>
      </c>
      <c r="J31" s="20" t="s">
        <v>288</v>
      </c>
      <c r="K31" s="20" t="s">
        <v>339</v>
      </c>
      <c r="L31" s="20" t="s">
        <v>599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44"/>
    <col collapsed="false" customWidth="true" hidden="false" outlineLevel="0" max="3" min="3" style="1" width="22"/>
    <col collapsed="false" customWidth="true" hidden="false" outlineLevel="0" max="4" min="4" style="1" width="38"/>
    <col collapsed="false" customWidth="true" hidden="false" outlineLevel="0" max="5" min="5" style="1" width="14"/>
    <col collapsed="false" customWidth="true" hidden="false" outlineLevel="0" max="6" min="6" style="1" width="28"/>
    <col collapsed="false" customWidth="true" hidden="false" outlineLevel="0" max="7" min="7" style="1" width="14"/>
    <col collapsed="false" customWidth="true" hidden="false" outlineLevel="0" max="8" min="8" style="1" width="18"/>
    <col collapsed="false" customWidth="true" hidden="false" outlineLevel="0" max="9" min="9" style="1" width="50"/>
  </cols>
  <sheetData>
    <row r="1" customFormat="false" ht="15" hidden="false" customHeight="false" outlineLevel="0" collapsed="false">
      <c r="A1" s="4" t="s">
        <v>22</v>
      </c>
      <c r="B1" s="4" t="s">
        <v>600</v>
      </c>
      <c r="C1" s="4" t="s">
        <v>324</v>
      </c>
      <c r="D1" s="4" t="s">
        <v>601</v>
      </c>
      <c r="E1" s="4" t="s">
        <v>602</v>
      </c>
      <c r="F1" s="4" t="s">
        <v>603</v>
      </c>
      <c r="G1" s="4" t="s">
        <v>322</v>
      </c>
      <c r="H1" s="4" t="s">
        <v>604</v>
      </c>
      <c r="I1" s="4" t="s">
        <v>605</v>
      </c>
    </row>
    <row r="2" customFormat="false" ht="23.85" hidden="false" customHeight="false" outlineLevel="0" collapsed="false">
      <c r="A2" s="20" t="s">
        <v>606</v>
      </c>
      <c r="B2" s="20" t="s">
        <v>607</v>
      </c>
      <c r="C2" s="20" t="s">
        <v>608</v>
      </c>
      <c r="D2" s="20" t="s">
        <v>609</v>
      </c>
      <c r="E2" s="20" t="s">
        <v>610</v>
      </c>
      <c r="F2" s="20" t="s">
        <v>611</v>
      </c>
      <c r="G2" s="20" t="s">
        <v>612</v>
      </c>
      <c r="H2" s="20" t="s">
        <v>613</v>
      </c>
      <c r="I2" s="20" t="s">
        <v>614</v>
      </c>
    </row>
    <row r="3" customFormat="false" ht="23.85" hidden="false" customHeight="false" outlineLevel="0" collapsed="false">
      <c r="A3" s="20" t="s">
        <v>615</v>
      </c>
      <c r="B3" s="20" t="s">
        <v>616</v>
      </c>
      <c r="C3" s="20" t="s">
        <v>617</v>
      </c>
      <c r="D3" s="20" t="s">
        <v>618</v>
      </c>
      <c r="E3" s="20" t="s">
        <v>619</v>
      </c>
      <c r="F3" s="20" t="s">
        <v>620</v>
      </c>
      <c r="G3" s="20" t="s">
        <v>341</v>
      </c>
      <c r="H3" s="20" t="s">
        <v>621</v>
      </c>
      <c r="I3" s="20" t="s">
        <v>622</v>
      </c>
    </row>
    <row r="4" customFormat="false" ht="23.85" hidden="false" customHeight="false" outlineLevel="0" collapsed="false">
      <c r="A4" s="20" t="s">
        <v>623</v>
      </c>
      <c r="B4" s="20" t="s">
        <v>624</v>
      </c>
      <c r="C4" s="20" t="s">
        <v>625</v>
      </c>
      <c r="D4" s="20" t="s">
        <v>626</v>
      </c>
      <c r="E4" s="20" t="s">
        <v>627</v>
      </c>
      <c r="F4" s="20" t="s">
        <v>628</v>
      </c>
      <c r="G4" s="20" t="s">
        <v>351</v>
      </c>
      <c r="H4" s="20" t="s">
        <v>629</v>
      </c>
      <c r="I4" s="20" t="s">
        <v>630</v>
      </c>
    </row>
    <row r="5" customFormat="false" ht="23.85" hidden="false" customHeight="false" outlineLevel="0" collapsed="false">
      <c r="A5" s="20" t="s">
        <v>631</v>
      </c>
      <c r="B5" s="20" t="s">
        <v>632</v>
      </c>
      <c r="C5" s="20" t="s">
        <v>633</v>
      </c>
      <c r="D5" s="20" t="s">
        <v>634</v>
      </c>
      <c r="E5" s="20" t="s">
        <v>635</v>
      </c>
      <c r="F5" s="20" t="s">
        <v>636</v>
      </c>
      <c r="G5" s="20" t="s">
        <v>360</v>
      </c>
      <c r="H5" s="20" t="s">
        <v>637</v>
      </c>
      <c r="I5" s="20" t="s">
        <v>638</v>
      </c>
    </row>
    <row r="6" customFormat="false" ht="23.85" hidden="false" customHeight="false" outlineLevel="0" collapsed="false">
      <c r="A6" s="20" t="s">
        <v>639</v>
      </c>
      <c r="B6" s="20" t="s">
        <v>640</v>
      </c>
      <c r="C6" s="20" t="s">
        <v>641</v>
      </c>
      <c r="D6" s="20" t="s">
        <v>642</v>
      </c>
      <c r="E6" s="20" t="s">
        <v>643</v>
      </c>
      <c r="F6" s="20" t="s">
        <v>644</v>
      </c>
      <c r="G6" s="20" t="s">
        <v>426</v>
      </c>
      <c r="H6" s="20" t="s">
        <v>645</v>
      </c>
      <c r="I6" s="20" t="s">
        <v>646</v>
      </c>
    </row>
    <row r="7" customFormat="false" ht="23.85" hidden="false" customHeight="false" outlineLevel="0" collapsed="false">
      <c r="A7" s="20" t="s">
        <v>647</v>
      </c>
      <c r="B7" s="20" t="s">
        <v>648</v>
      </c>
      <c r="C7" s="20" t="s">
        <v>649</v>
      </c>
      <c r="D7" s="20" t="s">
        <v>650</v>
      </c>
      <c r="E7" s="20" t="s">
        <v>651</v>
      </c>
      <c r="F7" s="20" t="s">
        <v>652</v>
      </c>
      <c r="G7" s="20" t="s">
        <v>435</v>
      </c>
      <c r="H7" s="20" t="s">
        <v>653</v>
      </c>
      <c r="I7" s="20" t="s">
        <v>654</v>
      </c>
    </row>
    <row r="8" customFormat="false" ht="23.85" hidden="false" customHeight="false" outlineLevel="0" collapsed="false">
      <c r="A8" s="20" t="s">
        <v>655</v>
      </c>
      <c r="B8" s="20" t="s">
        <v>92</v>
      </c>
      <c r="C8" s="20" t="s">
        <v>656</v>
      </c>
      <c r="D8" s="20" t="s">
        <v>657</v>
      </c>
      <c r="E8" s="20" t="s">
        <v>658</v>
      </c>
      <c r="F8" s="20" t="s">
        <v>659</v>
      </c>
      <c r="G8" s="20" t="s">
        <v>379</v>
      </c>
      <c r="H8" s="20" t="s">
        <v>660</v>
      </c>
      <c r="I8" s="20" t="s">
        <v>661</v>
      </c>
    </row>
    <row r="9" customFormat="false" ht="23.85" hidden="false" customHeight="false" outlineLevel="0" collapsed="false">
      <c r="A9" s="20" t="s">
        <v>662</v>
      </c>
      <c r="B9" s="20" t="s">
        <v>663</v>
      </c>
      <c r="C9" s="20" t="s">
        <v>664</v>
      </c>
      <c r="D9" s="20" t="s">
        <v>665</v>
      </c>
      <c r="E9" s="20" t="s">
        <v>666</v>
      </c>
      <c r="F9" s="20" t="s">
        <v>667</v>
      </c>
      <c r="G9" s="20" t="s">
        <v>668</v>
      </c>
      <c r="H9" s="20" t="s">
        <v>669</v>
      </c>
      <c r="I9" s="20" t="s">
        <v>670</v>
      </c>
    </row>
    <row r="10" customFormat="false" ht="23.85" hidden="false" customHeight="false" outlineLevel="0" collapsed="false">
      <c r="A10" s="20" t="s">
        <v>671</v>
      </c>
      <c r="B10" s="20" t="s">
        <v>672</v>
      </c>
      <c r="C10" s="20" t="s">
        <v>608</v>
      </c>
      <c r="D10" s="20" t="s">
        <v>673</v>
      </c>
      <c r="E10" s="20" t="s">
        <v>674</v>
      </c>
      <c r="F10" s="20" t="s">
        <v>675</v>
      </c>
      <c r="G10" s="20" t="s">
        <v>676</v>
      </c>
      <c r="H10" s="20" t="s">
        <v>677</v>
      </c>
      <c r="I10" s="20" t="s">
        <v>678</v>
      </c>
    </row>
    <row r="11" customFormat="false" ht="15" hidden="false" customHeight="false" outlineLevel="0" collapsed="false">
      <c r="A11" s="20" t="s">
        <v>679</v>
      </c>
      <c r="B11" s="20" t="s">
        <v>680</v>
      </c>
      <c r="C11" s="20" t="s">
        <v>681</v>
      </c>
      <c r="D11" s="20" t="s">
        <v>682</v>
      </c>
      <c r="E11" s="20" t="s">
        <v>683</v>
      </c>
      <c r="F11" s="20" t="s">
        <v>684</v>
      </c>
      <c r="G11" s="20" t="s">
        <v>444</v>
      </c>
      <c r="H11" s="20" t="s">
        <v>685</v>
      </c>
      <c r="I11" s="20" t="s">
        <v>686</v>
      </c>
    </row>
    <row r="12" customFormat="false" ht="23.85" hidden="false" customHeight="false" outlineLevel="0" collapsed="false">
      <c r="A12" s="20" t="s">
        <v>687</v>
      </c>
      <c r="B12" s="20" t="s">
        <v>688</v>
      </c>
      <c r="C12" s="20" t="s">
        <v>689</v>
      </c>
      <c r="D12" s="20" t="s">
        <v>690</v>
      </c>
      <c r="E12" s="20" t="s">
        <v>691</v>
      </c>
      <c r="F12" s="20" t="s">
        <v>692</v>
      </c>
      <c r="G12" s="20" t="s">
        <v>693</v>
      </c>
      <c r="H12" s="20" t="s">
        <v>694</v>
      </c>
      <c r="I12" s="20" t="s">
        <v>695</v>
      </c>
    </row>
    <row r="13" customFormat="false" ht="23.85" hidden="false" customHeight="false" outlineLevel="0" collapsed="false">
      <c r="A13" s="20" t="s">
        <v>696</v>
      </c>
      <c r="B13" s="20" t="s">
        <v>697</v>
      </c>
      <c r="C13" s="20" t="s">
        <v>698</v>
      </c>
      <c r="D13" s="20" t="s">
        <v>699</v>
      </c>
      <c r="E13" s="20" t="s">
        <v>700</v>
      </c>
      <c r="F13" s="20" t="s">
        <v>701</v>
      </c>
      <c r="G13" s="20" t="s">
        <v>416</v>
      </c>
      <c r="H13" s="20" t="s">
        <v>702</v>
      </c>
      <c r="I13" s="20" t="s">
        <v>703</v>
      </c>
    </row>
    <row r="14" customFormat="false" ht="23.85" hidden="false" customHeight="false" outlineLevel="0" collapsed="false">
      <c r="A14" s="20" t="s">
        <v>704</v>
      </c>
      <c r="B14" s="20" t="s">
        <v>705</v>
      </c>
      <c r="C14" s="20" t="s">
        <v>706</v>
      </c>
      <c r="D14" s="20" t="s">
        <v>707</v>
      </c>
      <c r="E14" s="20" t="s">
        <v>708</v>
      </c>
      <c r="F14" s="20" t="s">
        <v>709</v>
      </c>
      <c r="G14" s="20" t="s">
        <v>406</v>
      </c>
      <c r="H14" s="20" t="s">
        <v>710</v>
      </c>
      <c r="I14" s="20" t="s">
        <v>711</v>
      </c>
    </row>
    <row r="15" customFormat="false" ht="23.85" hidden="false" customHeight="false" outlineLevel="0" collapsed="false">
      <c r="A15" s="20" t="s">
        <v>712</v>
      </c>
      <c r="B15" s="20" t="s">
        <v>713</v>
      </c>
      <c r="C15" s="20" t="s">
        <v>714</v>
      </c>
      <c r="D15" s="20" t="s">
        <v>715</v>
      </c>
      <c r="E15" s="20" t="s">
        <v>666</v>
      </c>
      <c r="F15" s="20" t="s">
        <v>716</v>
      </c>
      <c r="G15" s="20" t="s">
        <v>717</v>
      </c>
      <c r="H15" s="20" t="s">
        <v>718</v>
      </c>
      <c r="I15" s="20" t="s">
        <v>719</v>
      </c>
    </row>
    <row r="16" customFormat="false" ht="23.85" hidden="false" customHeight="false" outlineLevel="0" collapsed="false">
      <c r="A16" s="20" t="s">
        <v>720</v>
      </c>
      <c r="B16" s="20" t="s">
        <v>721</v>
      </c>
      <c r="C16" s="20" t="s">
        <v>722</v>
      </c>
      <c r="D16" s="20" t="s">
        <v>723</v>
      </c>
      <c r="E16" s="20" t="s">
        <v>724</v>
      </c>
      <c r="F16" s="20" t="s">
        <v>725</v>
      </c>
      <c r="G16" s="20" t="s">
        <v>726</v>
      </c>
      <c r="H16" s="20" t="s">
        <v>727</v>
      </c>
      <c r="I16" s="20" t="s">
        <v>728</v>
      </c>
    </row>
    <row r="17" customFormat="false" ht="23.85" hidden="false" customHeight="false" outlineLevel="0" collapsed="false">
      <c r="A17" s="20" t="s">
        <v>729</v>
      </c>
      <c r="B17" s="20" t="s">
        <v>730</v>
      </c>
      <c r="C17" s="20" t="s">
        <v>731</v>
      </c>
      <c r="D17" s="20" t="s">
        <v>732</v>
      </c>
      <c r="E17" s="20" t="s">
        <v>627</v>
      </c>
      <c r="F17" s="20" t="s">
        <v>733</v>
      </c>
      <c r="G17" s="20" t="s">
        <v>734</v>
      </c>
      <c r="H17" s="20" t="s">
        <v>735</v>
      </c>
      <c r="I17" s="20" t="s">
        <v>736</v>
      </c>
    </row>
    <row r="18" customFormat="false" ht="23.85" hidden="false" customHeight="false" outlineLevel="0" collapsed="false">
      <c r="A18" s="20" t="s">
        <v>737</v>
      </c>
      <c r="B18" s="20" t="s">
        <v>738</v>
      </c>
      <c r="C18" s="20" t="s">
        <v>739</v>
      </c>
      <c r="D18" s="20" t="s">
        <v>740</v>
      </c>
      <c r="E18" s="20" t="s">
        <v>741</v>
      </c>
      <c r="F18" s="20" t="s">
        <v>742</v>
      </c>
      <c r="G18" s="20" t="s">
        <v>743</v>
      </c>
      <c r="H18" s="20" t="s">
        <v>744</v>
      </c>
      <c r="I18" s="20" t="s">
        <v>745</v>
      </c>
    </row>
    <row r="19" customFormat="false" ht="15" hidden="false" customHeight="false" outlineLevel="0" collapsed="false">
      <c r="A19" s="20" t="s">
        <v>746</v>
      </c>
      <c r="B19" s="20" t="s">
        <v>747</v>
      </c>
      <c r="C19" s="20" t="s">
        <v>748</v>
      </c>
      <c r="D19" s="20" t="s">
        <v>749</v>
      </c>
      <c r="E19" s="20" t="s">
        <v>750</v>
      </c>
      <c r="F19" s="20" t="s">
        <v>751</v>
      </c>
      <c r="G19" s="20" t="s">
        <v>452</v>
      </c>
      <c r="H19" s="20" t="s">
        <v>752</v>
      </c>
      <c r="I19" s="20" t="s">
        <v>753</v>
      </c>
    </row>
    <row r="20" customFormat="false" ht="15" hidden="false" customHeight="false" outlineLevel="0" collapsed="false">
      <c r="A20" s="20" t="s">
        <v>754</v>
      </c>
      <c r="B20" s="20" t="s">
        <v>755</v>
      </c>
      <c r="C20" s="20" t="s">
        <v>756</v>
      </c>
      <c r="D20" s="20" t="s">
        <v>757</v>
      </c>
      <c r="E20" s="20" t="s">
        <v>758</v>
      </c>
      <c r="F20" s="20" t="s">
        <v>759</v>
      </c>
      <c r="G20" s="20" t="s">
        <v>462</v>
      </c>
      <c r="H20" s="20" t="s">
        <v>760</v>
      </c>
      <c r="I20" s="20" t="s">
        <v>761</v>
      </c>
    </row>
    <row r="21" customFormat="false" ht="15" hidden="false" customHeight="false" outlineLevel="0" collapsed="false">
      <c r="A21" s="20" t="s">
        <v>762</v>
      </c>
      <c r="B21" s="20" t="s">
        <v>763</v>
      </c>
      <c r="C21" s="20" t="s">
        <v>608</v>
      </c>
      <c r="D21" s="20" t="s">
        <v>764</v>
      </c>
      <c r="E21" s="20" t="s">
        <v>765</v>
      </c>
      <c r="F21" s="20" t="s">
        <v>766</v>
      </c>
      <c r="G21" s="20" t="s">
        <v>726</v>
      </c>
      <c r="H21" s="20" t="s">
        <v>767</v>
      </c>
      <c r="I21" s="20" t="s">
        <v>768</v>
      </c>
    </row>
    <row r="22" customFormat="false" ht="23.85" hidden="false" customHeight="false" outlineLevel="0" collapsed="false">
      <c r="A22" s="20" t="s">
        <v>769</v>
      </c>
      <c r="B22" s="20" t="s">
        <v>770</v>
      </c>
      <c r="C22" s="20" t="s">
        <v>771</v>
      </c>
      <c r="D22" s="20" t="s">
        <v>772</v>
      </c>
      <c r="E22" s="20" t="s">
        <v>773</v>
      </c>
      <c r="F22" s="20" t="s">
        <v>774</v>
      </c>
      <c r="G22" s="20" t="s">
        <v>775</v>
      </c>
      <c r="H22" s="20" t="s">
        <v>776</v>
      </c>
      <c r="I22" s="20" t="s">
        <v>777</v>
      </c>
    </row>
    <row r="23" customFormat="false" ht="15" hidden="false" customHeight="false" outlineLevel="0" collapsed="false">
      <c r="A23" s="20" t="s">
        <v>778</v>
      </c>
      <c r="B23" s="20" t="s">
        <v>779</v>
      </c>
      <c r="C23" s="20" t="s">
        <v>780</v>
      </c>
      <c r="D23" s="20" t="s">
        <v>781</v>
      </c>
      <c r="E23" s="20" t="s">
        <v>782</v>
      </c>
      <c r="F23" s="20" t="s">
        <v>783</v>
      </c>
      <c r="G23" s="20" t="s">
        <v>784</v>
      </c>
      <c r="H23" s="20" t="s">
        <v>785</v>
      </c>
      <c r="I23" s="20" t="s">
        <v>786</v>
      </c>
    </row>
    <row r="24" customFormat="false" ht="23.85" hidden="false" customHeight="false" outlineLevel="0" collapsed="false">
      <c r="A24" s="20" t="s">
        <v>787</v>
      </c>
      <c r="B24" s="20" t="s">
        <v>788</v>
      </c>
      <c r="C24" s="20" t="s">
        <v>608</v>
      </c>
      <c r="D24" s="20" t="s">
        <v>789</v>
      </c>
      <c r="E24" s="20" t="s">
        <v>790</v>
      </c>
      <c r="F24" s="20" t="s">
        <v>791</v>
      </c>
      <c r="G24" s="20" t="s">
        <v>792</v>
      </c>
      <c r="H24" s="20" t="s">
        <v>793</v>
      </c>
      <c r="I24" s="20" t="s">
        <v>794</v>
      </c>
    </row>
    <row r="25" customFormat="false" ht="15" hidden="false" customHeight="false" outlineLevel="0" collapsed="false">
      <c r="A25" s="20" t="s">
        <v>795</v>
      </c>
      <c r="B25" s="20" t="s">
        <v>796</v>
      </c>
      <c r="C25" s="20" t="s">
        <v>797</v>
      </c>
      <c r="D25" s="20" t="s">
        <v>798</v>
      </c>
      <c r="E25" s="20" t="s">
        <v>724</v>
      </c>
      <c r="F25" s="20" t="s">
        <v>799</v>
      </c>
      <c r="G25" s="20" t="s">
        <v>800</v>
      </c>
      <c r="H25" s="20" t="s">
        <v>801</v>
      </c>
      <c r="I25" s="20" t="s">
        <v>802</v>
      </c>
    </row>
    <row r="26" customFormat="false" ht="15" hidden="false" customHeight="false" outlineLevel="0" collapsed="false">
      <c r="A26" s="20" t="s">
        <v>803</v>
      </c>
      <c r="B26" s="20" t="s">
        <v>804</v>
      </c>
      <c r="C26" s="20" t="s">
        <v>805</v>
      </c>
      <c r="D26" s="20" t="s">
        <v>806</v>
      </c>
      <c r="E26" s="20" t="s">
        <v>807</v>
      </c>
      <c r="F26" s="20" t="s">
        <v>808</v>
      </c>
      <c r="G26" s="20" t="s">
        <v>809</v>
      </c>
      <c r="H26" s="20" t="s">
        <v>810</v>
      </c>
      <c r="I26" s="20" t="s">
        <v>811</v>
      </c>
    </row>
    <row r="27" customFormat="false" ht="23.85" hidden="false" customHeight="false" outlineLevel="0" collapsed="false">
      <c r="A27" s="20" t="s">
        <v>812</v>
      </c>
      <c r="B27" s="20" t="s">
        <v>813</v>
      </c>
      <c r="C27" s="20" t="s">
        <v>608</v>
      </c>
      <c r="D27" s="20" t="s">
        <v>814</v>
      </c>
      <c r="E27" s="20" t="s">
        <v>627</v>
      </c>
      <c r="F27" s="20" t="s">
        <v>815</v>
      </c>
      <c r="G27" s="20" t="s">
        <v>816</v>
      </c>
      <c r="H27" s="20" t="s">
        <v>817</v>
      </c>
      <c r="I27" s="20" t="s">
        <v>818</v>
      </c>
    </row>
    <row r="28" customFormat="false" ht="15" hidden="false" customHeight="false" outlineLevel="0" collapsed="false">
      <c r="A28" s="20" t="s">
        <v>819</v>
      </c>
      <c r="B28" s="20" t="s">
        <v>820</v>
      </c>
      <c r="C28" s="20" t="s">
        <v>821</v>
      </c>
      <c r="D28" s="20" t="s">
        <v>822</v>
      </c>
      <c r="E28" s="20" t="s">
        <v>823</v>
      </c>
      <c r="F28" s="20" t="s">
        <v>824</v>
      </c>
      <c r="G28" s="20" t="s">
        <v>539</v>
      </c>
      <c r="H28" s="20" t="s">
        <v>825</v>
      </c>
      <c r="I28" s="20" t="s">
        <v>826</v>
      </c>
    </row>
    <row r="29" customFormat="false" ht="15" hidden="false" customHeight="false" outlineLevel="0" collapsed="false">
      <c r="A29" s="20" t="s">
        <v>827</v>
      </c>
      <c r="B29" s="20" t="s">
        <v>828</v>
      </c>
      <c r="C29" s="20" t="s">
        <v>829</v>
      </c>
      <c r="D29" s="20" t="s">
        <v>830</v>
      </c>
      <c r="E29" s="20" t="s">
        <v>831</v>
      </c>
      <c r="F29" s="20" t="s">
        <v>692</v>
      </c>
      <c r="G29" s="20" t="s">
        <v>832</v>
      </c>
      <c r="H29" s="20" t="s">
        <v>833</v>
      </c>
      <c r="I29" s="20" t="s">
        <v>834</v>
      </c>
    </row>
    <row r="30" customFormat="false" ht="15" hidden="false" customHeight="false" outlineLevel="0" collapsed="false">
      <c r="A30" s="20" t="s">
        <v>835</v>
      </c>
      <c r="B30" s="20" t="s">
        <v>836</v>
      </c>
      <c r="C30" s="20" t="s">
        <v>837</v>
      </c>
      <c r="D30" s="20" t="s">
        <v>838</v>
      </c>
      <c r="E30" s="20" t="s">
        <v>724</v>
      </c>
      <c r="F30" s="20" t="s">
        <v>839</v>
      </c>
      <c r="G30" s="20" t="s">
        <v>556</v>
      </c>
      <c r="H30" s="20" t="s">
        <v>840</v>
      </c>
      <c r="I30" s="20" t="s">
        <v>841</v>
      </c>
    </row>
    <row r="31" customFormat="false" ht="15" hidden="false" customHeight="false" outlineLevel="0" collapsed="false">
      <c r="A31" s="20" t="s">
        <v>842</v>
      </c>
      <c r="B31" s="20" t="s">
        <v>843</v>
      </c>
      <c r="C31" s="20" t="s">
        <v>844</v>
      </c>
      <c r="D31" s="20" t="s">
        <v>845</v>
      </c>
      <c r="E31" s="20" t="s">
        <v>765</v>
      </c>
      <c r="F31" s="20" t="s">
        <v>766</v>
      </c>
      <c r="G31" s="20" t="s">
        <v>846</v>
      </c>
      <c r="H31" s="20" t="s">
        <v>847</v>
      </c>
      <c r="I31" s="20" t="s">
        <v>848</v>
      </c>
    </row>
    <row r="32" customFormat="false" ht="15" hidden="false" customHeight="false" outlineLevel="0" collapsed="false">
      <c r="A32" s="20" t="s">
        <v>849</v>
      </c>
      <c r="B32" s="20" t="s">
        <v>850</v>
      </c>
      <c r="C32" s="20" t="s">
        <v>851</v>
      </c>
      <c r="D32" s="20" t="s">
        <v>852</v>
      </c>
      <c r="E32" s="20" t="s">
        <v>658</v>
      </c>
      <c r="F32" s="20" t="s">
        <v>853</v>
      </c>
      <c r="G32" s="20" t="s">
        <v>854</v>
      </c>
      <c r="H32" s="20" t="s">
        <v>855</v>
      </c>
      <c r="I32" s="20" t="s">
        <v>856</v>
      </c>
    </row>
    <row r="33" customFormat="false" ht="23.85" hidden="false" customHeight="false" outlineLevel="0" collapsed="false">
      <c r="A33" s="20" t="s">
        <v>857</v>
      </c>
      <c r="B33" s="20" t="s">
        <v>858</v>
      </c>
      <c r="C33" s="20" t="s">
        <v>859</v>
      </c>
      <c r="D33" s="20" t="s">
        <v>860</v>
      </c>
      <c r="E33" s="20" t="s">
        <v>861</v>
      </c>
      <c r="F33" s="20" t="s">
        <v>862</v>
      </c>
      <c r="G33" s="20" t="s">
        <v>863</v>
      </c>
      <c r="H33" s="20" t="s">
        <v>864</v>
      </c>
      <c r="I33" s="20" t="s">
        <v>865</v>
      </c>
    </row>
    <row r="34" customFormat="false" ht="15" hidden="false" customHeight="false" outlineLevel="0" collapsed="false">
      <c r="A34" s="20" t="s">
        <v>866</v>
      </c>
      <c r="B34" s="20" t="s">
        <v>867</v>
      </c>
      <c r="C34" s="20" t="s">
        <v>868</v>
      </c>
      <c r="D34" s="20" t="s">
        <v>869</v>
      </c>
      <c r="E34" s="20" t="s">
        <v>870</v>
      </c>
      <c r="F34" s="20" t="s">
        <v>871</v>
      </c>
      <c r="G34" s="20" t="s">
        <v>872</v>
      </c>
      <c r="H34" s="20" t="s">
        <v>873</v>
      </c>
      <c r="I34" s="20" t="s">
        <v>874</v>
      </c>
    </row>
    <row r="35" customFormat="false" ht="15" hidden="false" customHeight="false" outlineLevel="0" collapsed="false">
      <c r="A35" s="20" t="s">
        <v>875</v>
      </c>
      <c r="B35" s="20" t="s">
        <v>876</v>
      </c>
      <c r="C35" s="20" t="s">
        <v>617</v>
      </c>
      <c r="D35" s="20" t="s">
        <v>877</v>
      </c>
      <c r="E35" s="20" t="s">
        <v>627</v>
      </c>
      <c r="F35" s="20" t="s">
        <v>878</v>
      </c>
      <c r="G35" s="20" t="s">
        <v>879</v>
      </c>
      <c r="H35" s="20" t="s">
        <v>880</v>
      </c>
      <c r="I35" s="20" t="s">
        <v>881</v>
      </c>
    </row>
    <row r="36" customFormat="false" ht="23.85" hidden="false" customHeight="false" outlineLevel="0" collapsed="false">
      <c r="A36" s="20" t="s">
        <v>882</v>
      </c>
      <c r="B36" s="20" t="s">
        <v>883</v>
      </c>
      <c r="C36" s="20" t="s">
        <v>884</v>
      </c>
      <c r="D36" s="20" t="s">
        <v>885</v>
      </c>
      <c r="E36" s="20" t="s">
        <v>765</v>
      </c>
      <c r="F36" s="20" t="s">
        <v>886</v>
      </c>
      <c r="G36" s="20" t="s">
        <v>887</v>
      </c>
      <c r="H36" s="20" t="s">
        <v>888</v>
      </c>
      <c r="I36" s="20" t="s">
        <v>889</v>
      </c>
    </row>
    <row r="37" customFormat="false" ht="23.85" hidden="false" customHeight="false" outlineLevel="0" collapsed="false">
      <c r="A37" s="20" t="s">
        <v>890</v>
      </c>
      <c r="B37" s="20" t="s">
        <v>891</v>
      </c>
      <c r="C37" s="20" t="s">
        <v>608</v>
      </c>
      <c r="D37" s="20" t="s">
        <v>892</v>
      </c>
      <c r="E37" s="20" t="s">
        <v>758</v>
      </c>
      <c r="F37" s="20" t="s">
        <v>893</v>
      </c>
      <c r="G37" s="20" t="s">
        <v>894</v>
      </c>
      <c r="H37" s="20" t="s">
        <v>895</v>
      </c>
      <c r="I37" s="20" t="s">
        <v>896</v>
      </c>
    </row>
    <row r="38" customFormat="false" ht="15" hidden="false" customHeight="false" outlineLevel="0" collapsed="false">
      <c r="A38" s="20" t="s">
        <v>897</v>
      </c>
      <c r="B38" s="20" t="s">
        <v>898</v>
      </c>
      <c r="C38" s="20" t="s">
        <v>608</v>
      </c>
      <c r="D38" s="20" t="s">
        <v>899</v>
      </c>
      <c r="E38" s="20" t="s">
        <v>900</v>
      </c>
      <c r="F38" s="20" t="s">
        <v>901</v>
      </c>
      <c r="G38" s="20" t="s">
        <v>902</v>
      </c>
      <c r="H38" s="20" t="s">
        <v>903</v>
      </c>
      <c r="I38" s="20" t="s">
        <v>904</v>
      </c>
    </row>
    <row r="39" customFormat="false" ht="23.85" hidden="false" customHeight="false" outlineLevel="0" collapsed="false">
      <c r="A39" s="20" t="s">
        <v>905</v>
      </c>
      <c r="B39" s="20" t="s">
        <v>906</v>
      </c>
      <c r="C39" s="20" t="s">
        <v>748</v>
      </c>
      <c r="D39" s="20" t="s">
        <v>907</v>
      </c>
      <c r="E39" s="20" t="s">
        <v>908</v>
      </c>
      <c r="F39" s="20" t="s">
        <v>909</v>
      </c>
      <c r="G39" s="20" t="s">
        <v>910</v>
      </c>
      <c r="H39" s="20" t="s">
        <v>903</v>
      </c>
      <c r="I39" s="20" t="s">
        <v>911</v>
      </c>
    </row>
    <row r="40" customFormat="false" ht="23.85" hidden="false" customHeight="false" outlineLevel="0" collapsed="false">
      <c r="A40" s="20" t="s">
        <v>912</v>
      </c>
      <c r="B40" s="20" t="s">
        <v>913</v>
      </c>
      <c r="C40" s="20" t="s">
        <v>914</v>
      </c>
      <c r="D40" s="20" t="s">
        <v>915</v>
      </c>
      <c r="E40" s="20" t="s">
        <v>916</v>
      </c>
      <c r="F40" s="20" t="s">
        <v>917</v>
      </c>
      <c r="G40" s="20" t="s">
        <v>918</v>
      </c>
      <c r="H40" s="20" t="s">
        <v>903</v>
      </c>
      <c r="I40" s="20" t="s">
        <v>919</v>
      </c>
    </row>
    <row r="41" customFormat="false" ht="15" hidden="false" customHeight="false" outlineLevel="0" collapsed="false">
      <c r="A41" s="20" t="s">
        <v>920</v>
      </c>
      <c r="B41" s="20" t="s">
        <v>921</v>
      </c>
      <c r="C41" s="20" t="s">
        <v>714</v>
      </c>
      <c r="D41" s="20" t="s">
        <v>922</v>
      </c>
      <c r="E41" s="20" t="s">
        <v>666</v>
      </c>
      <c r="F41" s="20" t="s">
        <v>923</v>
      </c>
      <c r="G41" s="20" t="s">
        <v>924</v>
      </c>
      <c r="H41" s="20" t="s">
        <v>718</v>
      </c>
      <c r="I41" s="20" t="s">
        <v>925</v>
      </c>
    </row>
    <row r="42" customFormat="false" ht="15" hidden="false" customHeight="false" outlineLevel="0" collapsed="false">
      <c r="A42" s="20" t="s">
        <v>926</v>
      </c>
      <c r="B42" s="20" t="s">
        <v>927</v>
      </c>
      <c r="C42" s="20" t="s">
        <v>608</v>
      </c>
      <c r="D42" s="20" t="s">
        <v>928</v>
      </c>
      <c r="E42" s="20" t="s">
        <v>929</v>
      </c>
      <c r="F42" s="20" t="s">
        <v>930</v>
      </c>
      <c r="G42" s="20" t="s">
        <v>931</v>
      </c>
      <c r="H42" s="20" t="s">
        <v>932</v>
      </c>
      <c r="I42" s="20" t="s">
        <v>933</v>
      </c>
    </row>
    <row r="43" customFormat="false" ht="15" hidden="false" customHeight="false" outlineLevel="0" collapsed="false">
      <c r="A43" s="20" t="s">
        <v>934</v>
      </c>
      <c r="B43" s="20" t="s">
        <v>935</v>
      </c>
      <c r="C43" s="20" t="s">
        <v>936</v>
      </c>
      <c r="D43" s="20" t="s">
        <v>937</v>
      </c>
      <c r="E43" s="20" t="s">
        <v>724</v>
      </c>
      <c r="F43" s="20" t="s">
        <v>692</v>
      </c>
      <c r="G43" s="20" t="s">
        <v>556</v>
      </c>
      <c r="H43" s="20" t="s">
        <v>938</v>
      </c>
      <c r="I43" s="20" t="s">
        <v>939</v>
      </c>
    </row>
    <row r="44" customFormat="false" ht="15" hidden="false" customHeight="false" outlineLevel="0" collapsed="false">
      <c r="A44" s="20" t="s">
        <v>940</v>
      </c>
      <c r="B44" s="20" t="s">
        <v>941</v>
      </c>
      <c r="C44" s="20" t="s">
        <v>608</v>
      </c>
      <c r="D44" s="20" t="s">
        <v>942</v>
      </c>
      <c r="E44" s="20" t="s">
        <v>651</v>
      </c>
      <c r="F44" s="20" t="s">
        <v>943</v>
      </c>
      <c r="G44" s="20" t="s">
        <v>944</v>
      </c>
      <c r="H44" s="20" t="s">
        <v>945</v>
      </c>
      <c r="I44" s="20" t="s">
        <v>946</v>
      </c>
    </row>
    <row r="45" customFormat="false" ht="15" hidden="false" customHeight="false" outlineLevel="0" collapsed="false">
      <c r="A45" s="20" t="s">
        <v>947</v>
      </c>
      <c r="B45" s="20" t="s">
        <v>948</v>
      </c>
      <c r="C45" s="20" t="s">
        <v>949</v>
      </c>
      <c r="D45" s="20" t="s">
        <v>950</v>
      </c>
      <c r="E45" s="20" t="s">
        <v>951</v>
      </c>
      <c r="F45" s="20" t="s">
        <v>952</v>
      </c>
      <c r="G45" s="20" t="s">
        <v>953</v>
      </c>
      <c r="H45" s="20" t="s">
        <v>954</v>
      </c>
      <c r="I45" s="20" t="s">
        <v>955</v>
      </c>
    </row>
    <row r="46" customFormat="false" ht="15" hidden="false" customHeight="false" outlineLevel="0" collapsed="false">
      <c r="A46" s="20" t="s">
        <v>956</v>
      </c>
      <c r="B46" s="20" t="s">
        <v>957</v>
      </c>
      <c r="C46" s="20" t="s">
        <v>958</v>
      </c>
      <c r="D46" s="20" t="s">
        <v>959</v>
      </c>
      <c r="E46" s="20" t="s">
        <v>627</v>
      </c>
      <c r="F46" s="20" t="s">
        <v>878</v>
      </c>
      <c r="G46" s="20" t="s">
        <v>960</v>
      </c>
      <c r="H46" s="20" t="s">
        <v>961</v>
      </c>
      <c r="I46" s="20" t="s">
        <v>962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3" min="3" style="1" width="12"/>
    <col collapsed="false" customWidth="true" hidden="false" outlineLevel="0" max="4" min="4" style="1" width="34"/>
    <col collapsed="false" customWidth="true" hidden="false" outlineLevel="0" max="5" min="5" style="1" width="24"/>
    <col collapsed="false" customWidth="true" hidden="false" outlineLevel="0" max="6" min="6" style="1" width="20"/>
    <col collapsed="false" customWidth="true" hidden="false" outlineLevel="0" max="7" min="7" style="1" width="11"/>
    <col collapsed="false" customWidth="true" hidden="false" outlineLevel="0" max="9" min="8" style="1" width="12"/>
    <col collapsed="false" customWidth="true" hidden="false" outlineLevel="0" max="10" min="10" style="1" width="14"/>
  </cols>
  <sheetData>
    <row r="1" customFormat="false" ht="15" hidden="false" customHeight="false" outlineLevel="0" collapsed="false">
      <c r="A1" s="4" t="s">
        <v>22</v>
      </c>
      <c r="B1" s="4" t="s">
        <v>963</v>
      </c>
      <c r="C1" s="4" t="s">
        <v>964</v>
      </c>
      <c r="D1" s="4" t="s">
        <v>965</v>
      </c>
      <c r="E1" s="4" t="s">
        <v>966</v>
      </c>
      <c r="F1" s="4" t="s">
        <v>166</v>
      </c>
      <c r="G1" s="4" t="s">
        <v>967</v>
      </c>
      <c r="H1" s="4" t="s">
        <v>968</v>
      </c>
      <c r="I1" s="4" t="s">
        <v>969</v>
      </c>
      <c r="J1" s="4" t="s">
        <v>970</v>
      </c>
    </row>
    <row r="2" customFormat="false" ht="23.85" hidden="false" customHeight="false" outlineLevel="0" collapsed="false">
      <c r="A2" s="20" t="s">
        <v>971</v>
      </c>
      <c r="B2" s="20" t="s">
        <v>972</v>
      </c>
      <c r="C2" s="20" t="s">
        <v>973</v>
      </c>
      <c r="D2" s="20" t="s">
        <v>974</v>
      </c>
      <c r="E2" s="20" t="s">
        <v>975</v>
      </c>
      <c r="F2" s="20" t="s">
        <v>187</v>
      </c>
      <c r="G2" s="20" t="s">
        <v>976</v>
      </c>
      <c r="H2" s="20" t="s">
        <v>977</v>
      </c>
      <c r="I2" s="20" t="s">
        <v>978</v>
      </c>
      <c r="J2" s="20" t="s">
        <v>979</v>
      </c>
    </row>
    <row r="3" customFormat="false" ht="15" hidden="false" customHeight="false" outlineLevel="0" collapsed="false">
      <c r="A3" s="20" t="s">
        <v>980</v>
      </c>
      <c r="B3" s="20" t="s">
        <v>981</v>
      </c>
      <c r="C3" s="20" t="s">
        <v>982</v>
      </c>
      <c r="D3" s="20" t="s">
        <v>983</v>
      </c>
      <c r="E3" s="20" t="s">
        <v>984</v>
      </c>
      <c r="F3" s="20" t="s">
        <v>187</v>
      </c>
      <c r="G3" s="20" t="s">
        <v>985</v>
      </c>
      <c r="H3" s="20" t="s">
        <v>986</v>
      </c>
      <c r="I3" s="20" t="s">
        <v>987</v>
      </c>
      <c r="J3" s="20" t="s">
        <v>988</v>
      </c>
    </row>
    <row r="4" customFormat="false" ht="23.85" hidden="false" customHeight="false" outlineLevel="0" collapsed="false">
      <c r="A4" s="20" t="s">
        <v>989</v>
      </c>
      <c r="B4" s="20" t="s">
        <v>990</v>
      </c>
      <c r="C4" s="20" t="s">
        <v>991</v>
      </c>
      <c r="D4" s="20" t="s">
        <v>992</v>
      </c>
      <c r="E4" s="20" t="s">
        <v>993</v>
      </c>
      <c r="F4" s="20" t="s">
        <v>255</v>
      </c>
      <c r="G4" s="20" t="s">
        <v>976</v>
      </c>
      <c r="H4" s="20" t="s">
        <v>994</v>
      </c>
      <c r="I4" s="20" t="s">
        <v>995</v>
      </c>
      <c r="J4" s="20" t="s">
        <v>996</v>
      </c>
    </row>
    <row r="5" customFormat="false" ht="23.85" hidden="false" customHeight="false" outlineLevel="0" collapsed="false">
      <c r="A5" s="20" t="s">
        <v>997</v>
      </c>
      <c r="B5" s="20" t="s">
        <v>998</v>
      </c>
      <c r="C5" s="20" t="s">
        <v>999</v>
      </c>
      <c r="D5" s="20" t="s">
        <v>1000</v>
      </c>
      <c r="E5" s="20" t="s">
        <v>1001</v>
      </c>
      <c r="F5" s="20" t="s">
        <v>255</v>
      </c>
      <c r="G5" s="20" t="s">
        <v>976</v>
      </c>
      <c r="H5" s="20" t="s">
        <v>1002</v>
      </c>
      <c r="I5" s="20" t="s">
        <v>1003</v>
      </c>
      <c r="J5" s="20" t="s">
        <v>1004</v>
      </c>
    </row>
    <row r="6" customFormat="false" ht="23.85" hidden="false" customHeight="false" outlineLevel="0" collapsed="false">
      <c r="A6" s="20" t="s">
        <v>1005</v>
      </c>
      <c r="B6" s="20" t="s">
        <v>1006</v>
      </c>
      <c r="C6" s="20" t="s">
        <v>1007</v>
      </c>
      <c r="D6" s="20" t="s">
        <v>1008</v>
      </c>
      <c r="E6" s="20" t="s">
        <v>1009</v>
      </c>
      <c r="F6" s="20" t="s">
        <v>199</v>
      </c>
      <c r="G6" s="20" t="s">
        <v>985</v>
      </c>
      <c r="H6" s="20" t="s">
        <v>977</v>
      </c>
      <c r="I6" s="20" t="s">
        <v>978</v>
      </c>
      <c r="J6" s="20" t="s">
        <v>1010</v>
      </c>
    </row>
    <row r="7" customFormat="false" ht="15" hidden="false" customHeight="false" outlineLevel="0" collapsed="false">
      <c r="A7" s="20" t="s">
        <v>1011</v>
      </c>
      <c r="B7" s="20" t="s">
        <v>1012</v>
      </c>
      <c r="C7" s="20" t="s">
        <v>1013</v>
      </c>
      <c r="D7" s="20" t="s">
        <v>1014</v>
      </c>
      <c r="E7" s="20" t="s">
        <v>1015</v>
      </c>
      <c r="F7" s="20" t="s">
        <v>187</v>
      </c>
      <c r="G7" s="20" t="s">
        <v>976</v>
      </c>
      <c r="H7" s="20" t="s">
        <v>1016</v>
      </c>
      <c r="I7" s="20" t="s">
        <v>978</v>
      </c>
      <c r="J7" s="20" t="s">
        <v>995</v>
      </c>
    </row>
    <row r="8" customFormat="false" ht="23.85" hidden="false" customHeight="false" outlineLevel="0" collapsed="false">
      <c r="A8" s="20" t="s">
        <v>1017</v>
      </c>
      <c r="B8" s="20" t="s">
        <v>1018</v>
      </c>
      <c r="C8" s="20" t="s">
        <v>1019</v>
      </c>
      <c r="D8" s="20" t="s">
        <v>1020</v>
      </c>
      <c r="E8" s="20" t="s">
        <v>1021</v>
      </c>
      <c r="F8" s="20" t="s">
        <v>187</v>
      </c>
      <c r="G8" s="20" t="s">
        <v>976</v>
      </c>
      <c r="H8" s="20" t="s">
        <v>1022</v>
      </c>
      <c r="I8" s="20" t="s">
        <v>1023</v>
      </c>
      <c r="J8" s="20" t="s">
        <v>1024</v>
      </c>
    </row>
    <row r="9" customFormat="false" ht="23.85" hidden="false" customHeight="false" outlineLevel="0" collapsed="false">
      <c r="A9" s="20" t="s">
        <v>1025</v>
      </c>
      <c r="B9" s="20" t="s">
        <v>1026</v>
      </c>
      <c r="C9" s="20" t="s">
        <v>85</v>
      </c>
      <c r="D9" s="20" t="s">
        <v>1027</v>
      </c>
      <c r="E9" s="20" t="s">
        <v>1028</v>
      </c>
      <c r="F9" s="20" t="s">
        <v>255</v>
      </c>
      <c r="G9" s="20" t="s">
        <v>1029</v>
      </c>
      <c r="H9" s="20" t="s">
        <v>1002</v>
      </c>
      <c r="I9" s="20" t="s">
        <v>1003</v>
      </c>
      <c r="J9" s="20" t="s">
        <v>1030</v>
      </c>
    </row>
    <row r="10" customFormat="false" ht="23.85" hidden="false" customHeight="false" outlineLevel="0" collapsed="false">
      <c r="A10" s="20" t="s">
        <v>1031</v>
      </c>
      <c r="B10" s="20" t="s">
        <v>1032</v>
      </c>
      <c r="C10" s="20" t="s">
        <v>1033</v>
      </c>
      <c r="D10" s="20" t="s">
        <v>1034</v>
      </c>
      <c r="E10" s="20" t="s">
        <v>1035</v>
      </c>
      <c r="F10" s="20" t="s">
        <v>376</v>
      </c>
      <c r="G10" s="20" t="s">
        <v>985</v>
      </c>
      <c r="H10" s="20" t="s">
        <v>977</v>
      </c>
      <c r="I10" s="20" t="s">
        <v>978</v>
      </c>
      <c r="J10" s="20" t="s">
        <v>979</v>
      </c>
    </row>
    <row r="11" customFormat="false" ht="23.85" hidden="false" customHeight="false" outlineLevel="0" collapsed="false">
      <c r="A11" s="20" t="s">
        <v>1036</v>
      </c>
      <c r="B11" s="20" t="s">
        <v>1037</v>
      </c>
      <c r="C11" s="20" t="s">
        <v>94</v>
      </c>
      <c r="D11" s="20" t="s">
        <v>1038</v>
      </c>
      <c r="E11" s="20" t="s">
        <v>1039</v>
      </c>
      <c r="F11" s="20" t="s">
        <v>1040</v>
      </c>
      <c r="G11" s="20" t="s">
        <v>985</v>
      </c>
      <c r="H11" s="20" t="s">
        <v>977</v>
      </c>
      <c r="I11" s="20" t="s">
        <v>995</v>
      </c>
      <c r="J11" s="20" t="s">
        <v>1041</v>
      </c>
    </row>
    <row r="12" customFormat="false" ht="23.85" hidden="false" customHeight="false" outlineLevel="0" collapsed="false">
      <c r="A12" s="20" t="s">
        <v>1042</v>
      </c>
      <c r="B12" s="20" t="s">
        <v>1043</v>
      </c>
      <c r="C12" s="20" t="s">
        <v>100</v>
      </c>
      <c r="D12" s="20" t="s">
        <v>1044</v>
      </c>
      <c r="E12" s="20" t="s">
        <v>1045</v>
      </c>
      <c r="F12" s="20" t="s">
        <v>1046</v>
      </c>
      <c r="G12" s="20" t="s">
        <v>985</v>
      </c>
      <c r="H12" s="20" t="s">
        <v>977</v>
      </c>
      <c r="I12" s="20" t="s">
        <v>995</v>
      </c>
      <c r="J12" s="20" t="s">
        <v>1041</v>
      </c>
    </row>
    <row r="13" customFormat="false" ht="23.85" hidden="false" customHeight="false" outlineLevel="0" collapsed="false">
      <c r="A13" s="20" t="s">
        <v>1047</v>
      </c>
      <c r="B13" s="20" t="s">
        <v>1048</v>
      </c>
      <c r="C13" s="20" t="s">
        <v>1013</v>
      </c>
      <c r="D13" s="20" t="s">
        <v>1049</v>
      </c>
      <c r="E13" s="20" t="s">
        <v>1050</v>
      </c>
      <c r="F13" s="20" t="s">
        <v>1051</v>
      </c>
      <c r="G13" s="20" t="s">
        <v>1052</v>
      </c>
      <c r="H13" s="20" t="s">
        <v>1053</v>
      </c>
      <c r="I13" s="20" t="s">
        <v>1054</v>
      </c>
      <c r="J13" s="20" t="s">
        <v>1055</v>
      </c>
    </row>
    <row r="14" customFormat="false" ht="23.85" hidden="false" customHeight="false" outlineLevel="0" collapsed="false">
      <c r="A14" s="20" t="s">
        <v>1056</v>
      </c>
      <c r="B14" s="20" t="s">
        <v>1057</v>
      </c>
      <c r="C14" s="20" t="s">
        <v>106</v>
      </c>
      <c r="D14" s="20" t="s">
        <v>1058</v>
      </c>
      <c r="E14" s="20" t="s">
        <v>1059</v>
      </c>
      <c r="F14" s="20" t="s">
        <v>1060</v>
      </c>
      <c r="G14" s="20" t="s">
        <v>976</v>
      </c>
      <c r="H14" s="20" t="s">
        <v>1061</v>
      </c>
      <c r="I14" s="20" t="s">
        <v>1003</v>
      </c>
      <c r="J14" s="20" t="s">
        <v>1062</v>
      </c>
    </row>
    <row r="15" customFormat="false" ht="23.85" hidden="false" customHeight="false" outlineLevel="0" collapsed="false">
      <c r="A15" s="20" t="s">
        <v>1063</v>
      </c>
      <c r="B15" s="20" t="s">
        <v>1064</v>
      </c>
      <c r="C15" s="20" t="s">
        <v>1065</v>
      </c>
      <c r="D15" s="20" t="s">
        <v>1066</v>
      </c>
      <c r="E15" s="20" t="s">
        <v>1067</v>
      </c>
      <c r="F15" s="20" t="s">
        <v>1068</v>
      </c>
      <c r="G15" s="20" t="s">
        <v>976</v>
      </c>
      <c r="H15" s="20" t="s">
        <v>1069</v>
      </c>
      <c r="I15" s="20" t="s">
        <v>1070</v>
      </c>
      <c r="J15" s="20" t="s">
        <v>1071</v>
      </c>
    </row>
    <row r="16" customFormat="false" ht="23.85" hidden="false" customHeight="false" outlineLevel="0" collapsed="false">
      <c r="A16" s="20" t="s">
        <v>1072</v>
      </c>
      <c r="B16" s="20" t="s">
        <v>1073</v>
      </c>
      <c r="C16" s="20" t="s">
        <v>1074</v>
      </c>
      <c r="D16" s="20" t="s">
        <v>1075</v>
      </c>
      <c r="E16" s="20" t="s">
        <v>1076</v>
      </c>
      <c r="F16" s="20" t="s">
        <v>264</v>
      </c>
      <c r="G16" s="20" t="s">
        <v>976</v>
      </c>
      <c r="H16" s="20" t="s">
        <v>977</v>
      </c>
      <c r="I16" s="20" t="s">
        <v>978</v>
      </c>
      <c r="J16" s="20" t="s">
        <v>979</v>
      </c>
    </row>
    <row r="17" customFormat="false" ht="23.85" hidden="false" customHeight="false" outlineLevel="0" collapsed="false">
      <c r="A17" s="20" t="s">
        <v>1077</v>
      </c>
      <c r="B17" s="20" t="s">
        <v>1078</v>
      </c>
      <c r="C17" s="20" t="s">
        <v>121</v>
      </c>
      <c r="D17" s="20" t="s">
        <v>1079</v>
      </c>
      <c r="E17" s="20" t="s">
        <v>1080</v>
      </c>
      <c r="F17" s="20" t="s">
        <v>1081</v>
      </c>
      <c r="G17" s="20" t="s">
        <v>1082</v>
      </c>
      <c r="H17" s="20" t="s">
        <v>1053</v>
      </c>
      <c r="I17" s="20" t="s">
        <v>1083</v>
      </c>
      <c r="J17" s="20" t="s">
        <v>1084</v>
      </c>
    </row>
    <row r="18" customFormat="false" ht="23.85" hidden="false" customHeight="false" outlineLevel="0" collapsed="false">
      <c r="A18" s="20" t="s">
        <v>1085</v>
      </c>
      <c r="B18" s="20" t="s">
        <v>1086</v>
      </c>
      <c r="C18" s="20" t="s">
        <v>149</v>
      </c>
      <c r="D18" s="20" t="s">
        <v>1087</v>
      </c>
      <c r="E18" s="20" t="s">
        <v>1088</v>
      </c>
      <c r="F18" s="20" t="s">
        <v>376</v>
      </c>
      <c r="G18" s="20" t="s">
        <v>976</v>
      </c>
      <c r="H18" s="20" t="s">
        <v>1089</v>
      </c>
      <c r="I18" s="20" t="s">
        <v>1090</v>
      </c>
      <c r="J18" s="20" t="s">
        <v>1091</v>
      </c>
    </row>
    <row r="19" customFormat="false" ht="15" hidden="false" customHeight="false" outlineLevel="0" collapsed="false">
      <c r="A19" s="20" t="s">
        <v>1092</v>
      </c>
      <c r="B19" s="20" t="s">
        <v>1093</v>
      </c>
      <c r="C19" s="20" t="s">
        <v>152</v>
      </c>
      <c r="D19" s="20" t="s">
        <v>1094</v>
      </c>
      <c r="E19" s="20" t="s">
        <v>1095</v>
      </c>
      <c r="F19" s="20" t="s">
        <v>264</v>
      </c>
      <c r="G19" s="20" t="s">
        <v>976</v>
      </c>
      <c r="H19" s="20" t="s">
        <v>977</v>
      </c>
      <c r="I19" s="20" t="s">
        <v>1096</v>
      </c>
      <c r="J19" s="20" t="s">
        <v>995</v>
      </c>
    </row>
    <row r="20" customFormat="false" ht="23.85" hidden="false" customHeight="false" outlineLevel="0" collapsed="false">
      <c r="A20" s="20" t="s">
        <v>1097</v>
      </c>
      <c r="B20" s="20" t="s">
        <v>1098</v>
      </c>
      <c r="C20" s="20" t="s">
        <v>127</v>
      </c>
      <c r="D20" s="20" t="s">
        <v>1099</v>
      </c>
      <c r="E20" s="20" t="s">
        <v>1100</v>
      </c>
      <c r="F20" s="20" t="s">
        <v>1101</v>
      </c>
      <c r="G20" s="20" t="s">
        <v>976</v>
      </c>
      <c r="H20" s="20" t="s">
        <v>1002</v>
      </c>
      <c r="I20" s="20" t="s">
        <v>1003</v>
      </c>
      <c r="J20" s="20" t="s">
        <v>1102</v>
      </c>
    </row>
    <row r="21" customFormat="false" ht="23.85" hidden="false" customHeight="false" outlineLevel="0" collapsed="false">
      <c r="A21" s="20" t="s">
        <v>1103</v>
      </c>
      <c r="B21" s="20" t="s">
        <v>1104</v>
      </c>
      <c r="C21" s="20" t="s">
        <v>1105</v>
      </c>
      <c r="D21" s="20" t="s">
        <v>1106</v>
      </c>
      <c r="E21" s="20" t="s">
        <v>1107</v>
      </c>
      <c r="F21" s="20" t="s">
        <v>1081</v>
      </c>
      <c r="G21" s="20" t="s">
        <v>1029</v>
      </c>
      <c r="H21" s="20" t="s">
        <v>1002</v>
      </c>
      <c r="I21" s="20" t="s">
        <v>1003</v>
      </c>
      <c r="J21" s="20" t="s">
        <v>1108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60"/>
    <col collapsed="false" customWidth="true" hidden="false" outlineLevel="0" max="3" min="3" style="1" width="30"/>
    <col collapsed="false" customWidth="true" hidden="false" outlineLevel="0" max="4" min="4" style="1" width="100"/>
  </cols>
  <sheetData>
    <row r="1" customFormat="false" ht="15" hidden="false" customHeight="false" outlineLevel="0" collapsed="false">
      <c r="A1" s="4" t="s">
        <v>22</v>
      </c>
      <c r="B1" s="4" t="s">
        <v>1109</v>
      </c>
      <c r="C1" s="4" t="s">
        <v>1110</v>
      </c>
      <c r="D1" s="4" t="s">
        <v>1111</v>
      </c>
    </row>
    <row r="2" customFormat="false" ht="23.85" hidden="false" customHeight="false" outlineLevel="0" collapsed="false">
      <c r="A2" s="20" t="s">
        <v>1112</v>
      </c>
      <c r="B2" s="20" t="s">
        <v>1113</v>
      </c>
      <c r="C2" s="20" t="s">
        <v>1114</v>
      </c>
      <c r="D2" s="20" t="s">
        <v>1115</v>
      </c>
    </row>
    <row r="3" customFormat="false" ht="35.05" hidden="false" customHeight="false" outlineLevel="0" collapsed="false">
      <c r="A3" s="20" t="s">
        <v>1116</v>
      </c>
      <c r="B3" s="20" t="s">
        <v>1117</v>
      </c>
      <c r="C3" s="20" t="s">
        <v>1114</v>
      </c>
      <c r="D3" s="20" t="s">
        <v>1118</v>
      </c>
    </row>
    <row r="4" customFormat="false" ht="23.85" hidden="false" customHeight="false" outlineLevel="0" collapsed="false">
      <c r="A4" s="20" t="s">
        <v>1119</v>
      </c>
      <c r="B4" s="20" t="s">
        <v>1120</v>
      </c>
      <c r="C4" s="20" t="s">
        <v>1114</v>
      </c>
      <c r="D4" s="20" t="s">
        <v>1121</v>
      </c>
    </row>
    <row r="5" customFormat="false" ht="23.85" hidden="false" customHeight="false" outlineLevel="0" collapsed="false">
      <c r="A5" s="20" t="s">
        <v>1122</v>
      </c>
      <c r="B5" s="20" t="s">
        <v>1123</v>
      </c>
      <c r="C5" s="20" t="s">
        <v>1114</v>
      </c>
      <c r="D5" s="20" t="s">
        <v>1124</v>
      </c>
    </row>
    <row r="6" customFormat="false" ht="23.85" hidden="false" customHeight="false" outlineLevel="0" collapsed="false">
      <c r="A6" s="20" t="s">
        <v>1125</v>
      </c>
      <c r="B6" s="20" t="s">
        <v>1126</v>
      </c>
      <c r="C6" s="20" t="s">
        <v>1114</v>
      </c>
      <c r="D6" s="20" t="s">
        <v>1127</v>
      </c>
    </row>
    <row r="7" customFormat="false" ht="35.05" hidden="false" customHeight="false" outlineLevel="0" collapsed="false">
      <c r="A7" s="20" t="s">
        <v>1128</v>
      </c>
      <c r="B7" s="20" t="s">
        <v>1129</v>
      </c>
      <c r="C7" s="20" t="s">
        <v>1130</v>
      </c>
      <c r="D7" s="20" t="s">
        <v>1131</v>
      </c>
    </row>
    <row r="8" customFormat="false" ht="23.85" hidden="false" customHeight="false" outlineLevel="0" collapsed="false">
      <c r="A8" s="20" t="s">
        <v>1132</v>
      </c>
      <c r="B8" s="20" t="s">
        <v>1133</v>
      </c>
      <c r="C8" s="20" t="s">
        <v>1114</v>
      </c>
      <c r="D8" s="20" t="s">
        <v>1134</v>
      </c>
    </row>
    <row r="9" customFormat="false" ht="15" hidden="false" customHeight="false" outlineLevel="0" collapsed="false">
      <c r="A9" s="20" t="s">
        <v>1135</v>
      </c>
      <c r="B9" s="20" t="s">
        <v>1136</v>
      </c>
      <c r="C9" s="20" t="s">
        <v>1114</v>
      </c>
      <c r="D9" s="20" t="s">
        <v>1137</v>
      </c>
    </row>
    <row r="10" customFormat="false" ht="23.85" hidden="false" customHeight="false" outlineLevel="0" collapsed="false">
      <c r="A10" s="20" t="s">
        <v>1138</v>
      </c>
      <c r="B10" s="20" t="s">
        <v>1139</v>
      </c>
      <c r="C10" s="20" t="s">
        <v>1140</v>
      </c>
      <c r="D10" s="20" t="s">
        <v>1141</v>
      </c>
    </row>
    <row r="11" customFormat="false" ht="15" hidden="false" customHeight="false" outlineLevel="0" collapsed="false">
      <c r="A11" s="20" t="s">
        <v>1142</v>
      </c>
      <c r="B11" s="20" t="s">
        <v>1143</v>
      </c>
      <c r="C11" s="20" t="s">
        <v>1144</v>
      </c>
      <c r="D11" s="20" t="s">
        <v>1145</v>
      </c>
    </row>
    <row r="12" customFormat="false" ht="15" hidden="false" customHeight="false" outlineLevel="0" collapsed="false">
      <c r="A12" s="20" t="s">
        <v>1146</v>
      </c>
      <c r="B12" s="20" t="s">
        <v>1147</v>
      </c>
      <c r="C12" s="20" t="s">
        <v>1144</v>
      </c>
      <c r="D12" s="20" t="s">
        <v>1148</v>
      </c>
    </row>
    <row r="13" customFormat="false" ht="15" hidden="false" customHeight="false" outlineLevel="0" collapsed="false">
      <c r="A13" s="20" t="s">
        <v>1149</v>
      </c>
      <c r="B13" s="20" t="s">
        <v>1150</v>
      </c>
      <c r="C13" s="20" t="s">
        <v>1151</v>
      </c>
      <c r="D13" s="20" t="s">
        <v>1152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2026-10-23T16:08:34Z</dcterms:created>
  <dc:creator>openpyxl</dc:creator>
  <dc:description/>
  <dc:language>en-US</dc:language>
  <cp:lastModifiedBy/>
  <dcterms:modified xsi:type="dcterms:W3CDTF">2026-10-23T16:08:34Z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