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Analyse" sheetId="2" state="visible" r:id="rId4"/>
    <sheet name="Parameters" sheetId="3" state="visible" r:id="rId5"/>
    <sheet name="Inputs" sheetId="4" state="visible" r:id="rId6"/>
    <sheet name="Portfolio" sheetId="5" state="visible" r:id="rId7"/>
    <sheet name="Sensitivity" sheetId="6" state="visible" r:id="rId8"/>
    <sheet name="Case_View" sheetId="7" state="visible" r:id="rId9"/>
    <sheet name="Scenarios" sheetId="8" state="visible" r:id="rId10"/>
    <sheet name="Candidates" sheetId="9" state="visible" r:id="rId11"/>
    <sheet name="KRIs" sheetId="10" state="visible" r:id="rId12"/>
    <sheet name="Evidence" sheetId="11" state="visible" r:id="rId13"/>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Phishing is constant and attempts are increasing; lures already observed. Evidence: E4, E6</t>
        </r>
      </text>
    </comment>
    <comment ref="C5" authorId="0">
      <text>
        <r>
          <rPr>
            <sz val="10"/>
            <rFont val="Arial"/>
            <family val="2"/>
          </rPr>
          <t xml:space="preserve">Healthcare is a sustained ransomware target; attempts rising. Evidence: E4</t>
        </r>
      </text>
    </comment>
    <comment ref="C6" authorId="0">
      <text>
        <r>
          <rPr>
            <sz val="10"/>
            <rFont val="Arial"/>
            <family val="2"/>
          </rPr>
          <t xml:space="preserve">Conditional on an intrusion reaching administrative level (S1/S2). Evidence: E4, E6</t>
        </r>
      </text>
    </comment>
    <comment ref="C7" authorId="0">
      <text>
        <r>
          <rPr>
            <sz val="10"/>
            <rFont val="Arial"/>
            <family val="2"/>
          </rPr>
          <t xml:space="preserve">Cloud storage is continuously scanned. Evidence: E4</t>
        </r>
      </text>
    </comment>
    <comment ref="C8" authorId="0">
      <text>
        <r>
          <rPr>
            <sz val="10"/>
            <rFont val="Arial"/>
            <family val="2"/>
          </rPr>
          <t xml:space="preserve">Insider snooping is recurrent in healthcare; service-account anomaly observed. Evidence: E6</t>
        </r>
      </text>
    </comment>
    <comment ref="C9" authorId="0">
      <text>
        <r>
          <rPr>
            <sz val="10"/>
            <rFont val="Arial"/>
            <family val="2"/>
          </rPr>
          <t xml:space="preserve">Edge-device exploitation campaigns are frequent. Evidence: E4</t>
        </r>
      </text>
    </comment>
    <comment ref="C10" authorId="0">
      <text>
        <r>
          <rPr>
            <sz val="10"/>
            <rFont val="Arial"/>
            <family val="2"/>
          </rPr>
          <t xml:space="preserve">Targeting of devices is less frequent than IT, but collateral infection is common. Evidence: E4</t>
        </r>
      </text>
    </comment>
    <comment ref="C11" authorId="0">
      <text>
        <r>
          <rPr>
            <sz val="10"/>
            <rFont val="Arial"/>
            <family val="2"/>
          </rPr>
          <t xml:space="preserve">Attempts ongoing; some will pass perimeter controls. Evidence: E4</t>
        </r>
      </text>
    </comment>
    <comment ref="C12" authorId="0">
      <text>
        <r>
          <rPr>
            <sz val="10"/>
            <rFont val="Arial"/>
            <family val="2"/>
          </rPr>
          <t xml:space="preserve">Supply-chain attacks on healthcare vendors are recurrent. Evidence: E7</t>
        </r>
      </text>
    </comment>
    <comment ref="C13" authorId="0">
      <text>
        <r>
          <rPr>
            <sz val="10"/>
            <rFont val="Arial"/>
            <family val="2"/>
          </rPr>
          <t xml:space="preserve">Integrity attacks are rarer than theft or encryption. Evidence: E4</t>
        </r>
      </text>
    </comment>
    <comment ref="D4" authorId="0">
      <text>
        <r>
          <rPr>
            <sz val="10"/>
            <rFont val="Arial"/>
            <family val="2"/>
          </rPr>
          <t xml:space="preserve">Push MFA is bypassable by fatigue; no conditional access or macro blocking evidenced. Evidence: E6</t>
        </r>
      </text>
    </comment>
    <comment ref="D5" authorId="0">
      <text>
        <r>
          <rPr>
            <sz val="10"/>
            <rFont val="Arial"/>
            <family val="2"/>
          </rPr>
          <t xml:space="preserve">Multiple weak links (triage, segmentation, backup isolation) but perimeter controls exist. Evidence: E2, E6</t>
        </r>
      </text>
    </comment>
    <comment ref="D6" authorId="0">
      <text>
        <r>
          <rPr>
            <sz val="10"/>
            <rFont val="Arial"/>
            <family val="2"/>
          </rPr>
          <t xml:space="preserve">Isolation unknown; failures in E6 suggest exposure. Evidence: E2, E6</t>
        </r>
      </text>
    </comment>
    <comment ref="D7" authorId="0">
      <text>
        <r>
          <rPr>
            <sz val="10"/>
            <rFont val="Arial"/>
            <family val="2"/>
          </rPr>
          <t xml:space="preserve">Depends on sharing configuration - unknown; E6 suggests weakness. Evidence: E6</t>
        </r>
      </text>
    </comment>
    <comment ref="D8" authorId="0">
      <text>
        <r>
          <rPr>
            <sz val="10"/>
            <rFont val="Arial"/>
            <family val="2"/>
          </rPr>
          <t xml:space="preserve">Legitimate access bypasses perimeter controls; no analytics. Evidence: E6, E7</t>
        </r>
      </text>
    </comment>
    <comment ref="D9" authorId="0">
      <text>
        <r>
          <rPr>
            <sz val="10"/>
            <rFont val="Arial"/>
            <family val="2"/>
          </rPr>
          <t xml:space="preserve">Patching lag documented; inventory incomplete. Evidence: E3, E7</t>
        </r>
      </text>
    </comment>
    <comment ref="D10" authorId="0">
      <text>
        <r>
          <rPr>
            <sz val="10"/>
            <rFont val="Arial"/>
            <family val="2"/>
          </rPr>
          <t xml:space="preserve">Patch and segmentation constraints documented. Evidence: E3, E4</t>
        </r>
      </text>
    </comment>
    <comment ref="D11" authorId="0">
      <text>
        <r>
          <rPr>
            <sz val="10"/>
            <rFont val="Arial"/>
            <family val="2"/>
          </rPr>
          <t xml:space="preserve">Evidence of mis-triaged alerts and uncorrelated signals. Evidence: E6</t>
        </r>
      </text>
    </comment>
    <comment ref="D12" authorId="0">
      <text>
        <r>
          <rPr>
            <sz val="10"/>
            <rFont val="Arial"/>
            <family val="2"/>
          </rPr>
          <t xml:space="preserve">Controls over vendor access not evidenced. Evidence: E7</t>
        </r>
      </text>
    </comment>
    <comment ref="D13" authorId="0">
      <text>
        <r>
          <rPr>
            <sz val="10"/>
            <rFont val="Arial"/>
            <family val="2"/>
          </rPr>
          <t xml:space="preserve">Requires write access; monitoring absent. Evidence: E8</t>
        </r>
      </text>
    </comment>
    <comment ref="E4" authorId="0">
      <text>
        <r>
          <rPr>
            <sz val="10"/>
            <rFont val="Arial"/>
            <family val="2"/>
          </rPr>
          <t xml:space="preserve">Access to a subset of records; containment possible if detected. Evidence: E1, E6</t>
        </r>
      </text>
    </comment>
    <comment ref="E5" authorId="0">
      <text>
        <r>
          <rPr>
            <sz val="10"/>
            <rFont val="Arial"/>
            <family val="2"/>
          </rPr>
          <t xml:space="preserve">Multi-day disruption of several clinics. Evidence: E1, E6</t>
        </r>
      </text>
    </comment>
    <comment ref="E6" authorId="0">
      <text>
        <r>
          <rPr>
            <sz val="10"/>
            <rFont val="Arial"/>
            <family val="2"/>
          </rPr>
          <t xml:space="preserve">Partial loss of recent restore points. Evidence: E2</t>
        </r>
      </text>
    </comment>
    <comment ref="E7" authorId="0">
      <text>
        <r>
          <rPr>
            <sz val="10"/>
            <rFont val="Arial"/>
            <family val="2"/>
          </rPr>
          <t xml:space="preserve">Partial data set exposed. Evidence: E6</t>
        </r>
      </text>
    </comment>
    <comment ref="E8" authorId="0">
      <text>
        <r>
          <rPr>
            <sz val="10"/>
            <rFont val="Arial"/>
            <family val="2"/>
          </rPr>
          <t xml:space="preserve">Limited set of records. Evidence: E1</t>
        </r>
      </text>
    </comment>
    <comment ref="E9" authorId="0">
      <text>
        <r>
          <rPr>
            <sz val="10"/>
            <rFont val="Arial"/>
            <family val="2"/>
          </rPr>
          <t xml:space="preserve">Foothold with some data access. Evidence: E2</t>
        </r>
      </text>
    </comment>
    <comment ref="E10" authorId="0">
      <text>
        <r>
          <rPr>
            <sz val="10"/>
            <rFont val="Arial"/>
            <family val="2"/>
          </rPr>
          <t xml:space="preserve">Some devices unavailable at one clinic. Evidence: E1</t>
        </r>
      </text>
    </comment>
    <comment ref="E11" authorId="0">
      <text>
        <r>
          <rPr>
            <sz val="10"/>
            <rFont val="Arial"/>
            <family val="2"/>
          </rPr>
          <t xml:space="preserve">Incident escalates before containment. Evidence: E6</t>
        </r>
      </text>
    </comment>
    <comment ref="E12" authorId="0">
      <text>
        <r>
          <rPr>
            <sz val="10"/>
            <rFont val="Arial"/>
            <family val="2"/>
          </rPr>
          <t xml:space="preserve">Breach through one vendor path. Evidence: E2</t>
        </r>
      </text>
    </comment>
    <comment ref="E13" authorId="0">
      <text>
        <r>
          <rPr>
            <sz val="10"/>
            <rFont val="Arial"/>
            <family val="2"/>
          </rPr>
          <t xml:space="preserve">Limited record set altered and detected. Evidence: E1</t>
        </r>
      </text>
    </comment>
    <comment ref="F4" authorId="0">
      <text>
        <r>
          <rPr>
            <sz val="10"/>
            <rFont val="Arial"/>
            <family val="2"/>
          </rPr>
          <t xml:space="preserve">Full EHR access or pivot to ransomware. Evidence: E1</t>
        </r>
      </text>
    </comment>
    <comment ref="F5" authorId="0">
      <text>
        <r>
          <rPr>
            <sz val="10"/>
            <rFont val="Arial"/>
            <family val="2"/>
          </rPr>
          <t xml:space="preserve">Network-wide outage with data theft and failed recovery. Evidence: E1</t>
        </r>
      </text>
    </comment>
    <comment ref="F6" authorId="0">
      <text>
        <r>
          <rPr>
            <sz val="10"/>
            <rFont val="Arial"/>
            <family val="2"/>
          </rPr>
          <t xml:space="preserve">No usable backup for EHR. Evidence: E1</t>
        </r>
      </text>
    </comment>
    <comment ref="F7" authorId="0">
      <text>
        <r>
          <rPr>
            <sz val="10"/>
            <rFont val="Arial"/>
            <family val="2"/>
          </rPr>
          <t xml:space="preserve">Entire export history exposed. Evidence: E1</t>
        </r>
      </text>
    </comment>
    <comment ref="F8" authorId="0">
      <text>
        <r>
          <rPr>
            <sz val="10"/>
            <rFont val="Arial"/>
            <family val="2"/>
          </rPr>
          <t xml:space="preserve">Bulk extraction through the service account. Evidence: E6</t>
        </r>
      </text>
    </comment>
    <comment ref="F9" authorId="0">
      <text>
        <r>
          <rPr>
            <sz val="10"/>
            <rFont val="Arial"/>
            <family val="2"/>
          </rPr>
          <t xml:space="preserve">Precursor to network-wide ransomware. Evidence: E1</t>
        </r>
      </text>
    </comment>
    <comment ref="F10" authorId="0">
      <text>
        <r>
          <rPr>
            <sz val="10"/>
            <rFont val="Arial"/>
            <family val="2"/>
          </rPr>
          <t xml:space="preserve">Patient harm from altered or unavailable equipment. Evidence: E5</t>
        </r>
      </text>
    </comment>
    <comment ref="F11" authorId="0">
      <text>
        <r>
          <rPr>
            <sz val="10"/>
            <rFont val="Arial"/>
            <family val="2"/>
          </rPr>
          <t xml:space="preserve">Full ransomware and breach scenario. Evidence: E6</t>
        </r>
      </text>
    </comment>
    <comment ref="F12" authorId="0">
      <text>
        <r>
          <rPr>
            <sz val="10"/>
            <rFont val="Arial"/>
            <family val="2"/>
          </rPr>
          <t xml:space="preserve">EHR vendor compromise affecting all clinics. Evidence: E1</t>
        </r>
      </text>
    </comment>
    <comment ref="F13" authorId="0">
      <text>
        <r>
          <rPr>
            <sz val="10"/>
            <rFont val="Arial"/>
            <family val="2"/>
          </rPr>
          <t xml:space="preserve">Patient harm from undetected alteration. Evidence: E5</t>
        </r>
      </text>
    </comment>
    <comment ref="G4" authorId="0">
      <text>
        <r>
          <rPr>
            <sz val="10"/>
            <rFont val="Arial"/>
            <family val="2"/>
          </rPr>
          <t xml:space="preserve">Two-person team; alert triage weak; IR untested. Evidence: E3, E6</t>
        </r>
      </text>
    </comment>
    <comment ref="G5" authorId="0">
      <text>
        <r>
          <rPr>
            <sz val="10"/>
            <rFont val="Arial"/>
            <family val="2"/>
          </rPr>
          <t xml:space="preserve">Recovery and workarounds untested; small team. Evidence: E3, E7</t>
        </r>
      </text>
    </comment>
    <comment ref="G6" authorId="0">
      <text>
        <r>
          <rPr>
            <sz val="10"/>
            <rFont val="Arial"/>
            <family val="2"/>
          </rPr>
          <t xml:space="preserve">No restore testing evidence. Evidence: E7</t>
        </r>
      </text>
    </comment>
    <comment ref="G7" authorId="0">
      <text>
        <r>
          <rPr>
            <sz val="10"/>
            <rFont val="Arial"/>
            <family val="2"/>
          </rPr>
          <t xml:space="preserve">Logging and detection uncertain. Evidence: E4</t>
        </r>
      </text>
    </comment>
    <comment ref="G8" authorId="0">
      <text>
        <r>
          <rPr>
            <sz val="10"/>
            <rFont val="Arial"/>
            <family val="2"/>
          </rPr>
          <t xml:space="preserve">Logs exist but not monitored. Evidence: E6</t>
        </r>
      </text>
    </comment>
    <comment ref="G9" authorId="0">
      <text>
        <r>
          <rPr>
            <sz val="10"/>
            <rFont val="Arial"/>
            <family val="2"/>
          </rPr>
          <t xml:space="preserve">Detection of implants uncertain. Evidence: E3</t>
        </r>
      </text>
    </comment>
    <comment ref="G10" authorId="0">
      <text>
        <r>
          <rPr>
            <sz val="10"/>
            <rFont val="Arial"/>
            <family val="2"/>
          </rPr>
          <t xml:space="preserve">No device monitoring or inventory evidence. Evidence: E4</t>
        </r>
      </text>
    </comment>
    <comment ref="G11" authorId="0">
      <text>
        <r>
          <rPr>
            <sz val="10"/>
            <rFont val="Arial"/>
            <family val="2"/>
          </rPr>
          <t xml:space="preserve">Detection and response are the weak capability itself. Evidence: E3</t>
        </r>
      </text>
    </comment>
    <comment ref="G12" authorId="0">
      <text>
        <r>
          <rPr>
            <sz val="10"/>
            <rFont val="Arial"/>
            <family val="2"/>
          </rPr>
          <t xml:space="preserve">Limited visibility into vendor activity. Evidence: E7</t>
        </r>
      </text>
    </comment>
    <comment ref="G13" authorId="0">
      <text>
        <r>
          <rPr>
            <sz val="10"/>
            <rFont val="Arial"/>
            <family val="2"/>
          </rPr>
          <t xml:space="preserve">Backups exist but integrity verification absent. Evidence: E2</t>
        </r>
      </text>
    </comment>
    <comment ref="H4" authorId="0">
      <text>
        <r>
          <rPr>
            <sz val="10"/>
            <rFont val="Arial"/>
            <family val="2"/>
          </rPr>
          <t xml:space="preserve">Identity is the gateway to every crown jewel. Evidence: E2</t>
        </r>
      </text>
    </comment>
    <comment ref="H5" authorId="0">
      <text>
        <r>
          <rPr>
            <sz val="10"/>
            <rFont val="Arial"/>
            <family val="2"/>
          </rPr>
          <t xml:space="preserve">EHR and scheduling underpin care delivery. Evidence: E1</t>
        </r>
      </text>
    </comment>
    <comment ref="H6" authorId="0">
      <text>
        <r>
          <rPr>
            <sz val="10"/>
            <rFont val="Arial"/>
            <family val="2"/>
          </rPr>
          <t xml:space="preserve">Recoverability of every crown jewel depends on it. Evidence: E2</t>
        </r>
      </text>
    </comment>
    <comment ref="H7" authorId="0">
      <text>
        <r>
          <rPr>
            <sz val="10"/>
            <rFont val="Arial"/>
            <family val="2"/>
          </rPr>
          <t xml:space="preserve">Important but not essential to same-day care. Evidence: E2</t>
        </r>
      </text>
    </comment>
    <comment ref="H8" authorId="0">
      <text>
        <r>
          <rPr>
            <sz val="10"/>
            <rFont val="Arial"/>
            <family val="2"/>
          </rPr>
          <t xml:space="preserve">EHR confidentiality is core to trust. Evidence: E5</t>
        </r>
      </text>
    </comment>
    <comment ref="H9" authorId="0">
      <text>
        <r>
          <rPr>
            <sz val="10"/>
            <rFont val="Arial"/>
            <family val="2"/>
          </rPr>
          <t xml:space="preserve">Remote access and perimeter serve all clinics. Evidence: E2</t>
        </r>
      </text>
    </comment>
    <comment ref="H10" authorId="0">
      <text>
        <r>
          <rPr>
            <sz val="10"/>
            <rFont val="Arial"/>
            <family val="2"/>
          </rPr>
          <t xml:space="preserve">Direct link to patient safety. Evidence: E5</t>
        </r>
      </text>
    </comment>
    <comment ref="H11" authorId="0">
      <text>
        <r>
          <rPr>
            <sz val="10"/>
            <rFont val="Arial"/>
            <family val="2"/>
          </rPr>
          <t xml:space="preserve">Response capacity protects every service. Evidence: E1</t>
        </r>
      </text>
    </comment>
    <comment ref="H12" authorId="0">
      <text>
        <r>
          <rPr>
            <sz val="10"/>
            <rFont val="Arial"/>
            <family val="2"/>
          </rPr>
          <t xml:space="preserve">Vendors support crown-jewel systems. Evidence: E2</t>
        </r>
      </text>
    </comment>
    <comment ref="H13" authorId="0">
      <text>
        <r>
          <rPr>
            <sz val="10"/>
            <rFont val="Arial"/>
            <family val="2"/>
          </rPr>
          <t xml:space="preserve">Clinical record integrity underpins safe care. Evidence: E1</t>
        </r>
      </text>
    </comment>
    <comment ref="J4" authorId="0">
      <text>
        <r>
          <rPr>
            <sz val="10"/>
            <rFont val="Arial"/>
            <family val="2"/>
          </rPr>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r>
      </text>
    </comment>
    <comment ref="J5" authorId="0">
      <text>
        <r>
          <rPr>
            <sz val="10"/>
            <rFont val="Arial"/>
            <family val="2"/>
          </rPr>
          <t xml:space="preserve">Representative weakness: malicious macro document leading to code execution (initial vector in E6). AV:L: the document is delivered by e-mail but opened and executed locally on the workstation (FIRST CVSS v4.0 user guide scores malicious documents as Local whatever the delivery channel); AC:L; AT:N; PR:N; UI:P user opens the document; VC/VI/VA:H on the workstation; SC/SI/SA:H because EHR and clinic systems are subsequently affected. CVSS describes the entry weakness only, not the enterprise impa</t>
        </r>
      </text>
    </comment>
    <comment ref="J6" authorId="0">
      <text>
        <r>
          <rPr>
            <sz val="10"/>
            <rFont val="Arial"/>
            <family val="2"/>
          </rPr>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r>
      </text>
    </comment>
    <comment ref="J7" authorId="0">
      <text>
        <r>
          <rPr>
            <sz val="10"/>
            <rFont val="Arial"/>
            <family val="2"/>
          </rPr>
          <t xml:space="preserve">Representative weakness: storage object accessible without authentication (CWE-284 misconfiguration). AV:N, AC:L, AT:N, PR:N, UI:N; confidentiality only (VC:H).</t>
        </r>
      </text>
    </comment>
    <comment ref="J8" authorId="0">
      <text>
        <r>
          <rPr>
            <sz val="10"/>
            <rFont val="Arial"/>
            <family val="2"/>
          </rPr>
          <t xml:space="preserve">Limited applicability: insider misuse is not a software vulnerability. Representative weakness used for the workbook: excessive privileges on an authenticated account (CWE-269). PR:L legitimate low-privilege access; VC:H bulk read; VI:L. Interpret with caution.</t>
        </r>
      </text>
    </comment>
    <comment ref="J9" authorId="0">
      <text>
        <r>
          <rPr>
            <sz val="10"/>
            <rFont val="Arial"/>
            <family val="2"/>
          </rPr>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r>
      </text>
    </comment>
    <comment ref="J10" authorId="0">
      <text>
        <r>
          <rPr>
            <sz val="10"/>
            <rFont val="Arial"/>
            <family val="2"/>
          </rPr>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r>
      </text>
    </comment>
    <comment ref="J11" authorId="0">
      <text>
        <r>
          <rPr>
            <sz val="10"/>
            <rFont val="Arial"/>
            <family val="2"/>
          </rPr>
          <t xml:space="preserve">Limited applicability: a detection gap is a control weakness, not a vulnerability. Representative weakness for the workbook: the undetected initial code-execution vector (macro/PowerShell, E6), scored AV:L because the e-mailed document is opened and executed locally (FIRST CVSS v4.0 user guide). Do not interpret the score as the severity of the detection gap.</t>
        </r>
      </text>
    </comment>
    <comment ref="J12" authorId="0">
      <text>
        <r>
          <rPr>
            <sz val="10"/>
            <rFont val="Arial"/>
            <family val="2"/>
          </rPr>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r>
      </text>
    </comment>
    <comment ref="J13" authorId="0">
      <text>
        <r>
          <rPr>
            <sz val="10"/>
            <rFont val="Arial"/>
            <family val="2"/>
          </rPr>
          <t xml:space="preserve">Representative weakness: authenticated user able to modify records beyond need (improper authorization, CWE-285). PR:L; VI:H; SI:H because pharmacy/lab downstream systems consume the altered data.</t>
        </r>
      </text>
    </comment>
  </commentList>
</comments>
</file>

<file path=xl/sharedStrings.xml><?xml version="1.0" encoding="utf-8"?>
<sst xmlns="http://schemas.openxmlformats.org/spreadsheetml/2006/main" count="897" uniqueCount="634">
  <si>
    <t xml:space="preserve">MediBec - CyberRiskGuardian Risk Assessment Workbook</t>
  </si>
  <si>
    <t xml:space="preserve">Assessment period: next 12 months (October 2026 - September 2027). Currency: CAD. Cost basis: Year-1 = initial implementation + first-year recurring.</t>
  </si>
  <si>
    <t xml:space="preserve">Source: MediBec Business Case v2.0b (fictional teaching case, M.-A. Leger) and CyberRiskGuardian Excel Guide v1.0c formulas.</t>
  </si>
  <si>
    <t xml:space="preserve">All parameter values, CVSS vectors, costs and reductions are analytical estimates (Analytical estimate — validation required). Scores are relative decision-support indicators, not loss predictions.</t>
  </si>
  <si>
    <t xml:space="preserve">Colour legend:  blue text = input you may edit  |  black = formula  |  green = link to another sheet  |  yellow fill = key assumption.</t>
  </si>
  <si>
    <t xml:space="preserve">Sheets:</t>
  </si>
  <si>
    <t xml:space="preserve">  Parameters  - risk appetite, multiplication factor, tolerance band (edit here).</t>
  </si>
  <si>
    <t xml:space="preserve">  Inputs      - S1-S10 quantitative parameters, CVSS v4.0 vector/score, reductions, confidence.</t>
  </si>
  <si>
    <t xml:space="preserve">  Analyse     - estimated, tolerated, mitigated, residual risk, ratio, classification, cost-effectiveness (live formulas).</t>
  </si>
  <si>
    <t xml:space="preserve">  Portfolio   - 13 initiatives, costs and scenario mapping; shared costs split equally across scenarios addressed (no double-counting).</t>
  </si>
  <si>
    <t xml:space="preserve">  Sensitivity - lower / central / higher cases for five key scenarios (all parameters shifted by +/- delta).</t>
  </si>
  <si>
    <t xml:space="preserve">  Case_View   - case-native escalation view (s.8 of the case): T x E x I x (1 - C), with the 0.25 / 0.40 escalation thresholds.</t>
  </si>
  <si>
    <t xml:space="preserve">  Candidates, Scenarios, KRIs, Evidence - supporting registers.</t>
  </si>
  <si>
    <t xml:space="preserve">Formulas (Excel Guide v1.0c, s.11):</t>
  </si>
  <si>
    <t xml:space="preserve">  Estimated = Pb(A) x Pb(psi,A) x CVSS x ((de + dm)/2) x mu(E) / theta x Factor</t>
  </si>
  <si>
    <t xml:space="preserve">  Tolerated = Pb(A) x Pb(psi,A) x CVSS x Appetite x mu(E) / theta x Factor</t>
  </si>
  <si>
    <t xml:space="preserve">  Mitigated = Estimated x ProbabilityReduction x ImpactReduction ;  Residual = Estimated - Mitigated</t>
  </si>
  <si>
    <t xml:space="preserve">  Ratio = Residual / Tolerated ;  Cost-effectiveness = (Estimated - Residual) / Cost x 1000</t>
  </si>
  <si>
    <t xml:space="preserve">Note: the template computes Residual as ABS(L - R). Because both reductions are kept within 0-1, L - R is always &gt;= 0 and the two are identical; a validity check column is included.</t>
  </si>
  <si>
    <t xml:space="preserve">How to use: change blue cells on Parameters / Inputs / Portfolio, then recalculate (Formulas &gt; Calculate Now if manual).</t>
  </si>
  <si>
    <t xml:space="preserve">Analyse - CyberRiskGuardian risk indices (Excel Guide v1.0c formulas)</t>
  </si>
  <si>
    <t xml:space="preserve">Green = linked from Inputs / Portfolio / Parameters; black = formula.</t>
  </si>
  <si>
    <t xml:space="preserve">ID</t>
  </si>
  <si>
    <t xml:space="preserve">Scenario</t>
  </si>
  <si>
    <t xml:space="preserve">Pb(A)</t>
  </si>
  <si>
    <t xml:space="preserve">Pb(psi,A)</t>
  </si>
  <si>
    <t xml:space="preserve">CVSS-B</t>
  </si>
  <si>
    <t xml:space="preserve">de</t>
  </si>
  <si>
    <t xml:space="preserve">dm</t>
  </si>
  <si>
    <t xml:space="preserve">mu(E)</t>
  </si>
  <si>
    <t xml:space="preserve">theta</t>
  </si>
  <si>
    <t xml:space="preserve">Appetite</t>
  </si>
  <si>
    <t xml:space="preserve">Factor</t>
  </si>
  <si>
    <t xml:space="preserve">Estimated risk</t>
  </si>
  <si>
    <t xml:space="preserve">Tolerated risk</t>
  </si>
  <si>
    <t xml:space="preserve">Pre-treatment ratio</t>
  </si>
  <si>
    <t xml:space="preserve">Allocated Y1 cost</t>
  </si>
  <si>
    <t xml:space="preserve">Prob. reduction</t>
  </si>
  <si>
    <t xml:space="preserve">Impact reduction</t>
  </si>
  <si>
    <t xml:space="preserve">Mitigated</t>
  </si>
  <si>
    <t xml:space="preserve">Residual</t>
  </si>
  <si>
    <t xml:space="preserve">Residual / Tolerated</t>
  </si>
  <si>
    <t xml:space="preserve">Classification</t>
  </si>
  <si>
    <t xml:space="preserve">Cost-effectiveness (per $1k)</t>
  </si>
  <si>
    <t xml:space="preserve">Validity (P,Q in 0-1)</t>
  </si>
  <si>
    <t xml:space="preserve">Portfolio totals</t>
  </si>
  <si>
    <t xml:space="preserve">Interpretation: Residual/Tolerated simplifies to ((de+dm)/2) x (1 - P x Q) / Appetite - CVSS, probabilities, resilience and criticality scale magnitude (ranking) but cancel out of the tolerance test.</t>
  </si>
  <si>
    <t xml:space="preserve">Global parameters</t>
  </si>
  <si>
    <t xml:space="preserve">Parameter</t>
  </si>
  <si>
    <t xml:space="preserve">Value</t>
  </si>
  <si>
    <t xml:space="preserve">Source / note</t>
  </si>
  <si>
    <t xml:space="preserve">Risk appetite (analytical estimate)</t>
  </si>
  <si>
    <t xml:space="preserve">Analytical estimate — validation required. Case states 0.40 normalized tolerance; see report s.4.</t>
  </si>
  <si>
    <t xml:space="preserve">Multiplication factor</t>
  </si>
  <si>
    <t xml:space="preserve">Constant across all scenarios (Excel Guide worked example).</t>
  </si>
  <si>
    <t xml:space="preserve">Tolerance band - lower bound of 'approximately at'</t>
  </si>
  <si>
    <t xml:space="preserve">Ratio &lt; this = below tolerance</t>
  </si>
  <si>
    <t xml:space="preserve">Tolerance band - upper bound of 'approximately at'</t>
  </si>
  <si>
    <t xml:space="preserve">Ratio &gt; this = above tolerance</t>
  </si>
  <si>
    <t xml:space="preserve">Case appetite (for comparison)</t>
  </si>
  <si>
    <t xml:space="preserve">Business case s.8</t>
  </si>
  <si>
    <t xml:space="preserve">Sensitivity delta</t>
  </si>
  <si>
    <t xml:space="preserve">Shift applied in Sensitivity sheet</t>
  </si>
  <si>
    <t xml:space="preserve">Case escalation - executive review threshold</t>
  </si>
  <si>
    <t xml:space="preserve">Case escalation - Board acceptance threshold</t>
  </si>
  <si>
    <t xml:space="preserve">Scenario inputs (0-1 scale unless stated) - Analytical estimate — validation required</t>
  </si>
  <si>
    <t xml:space="preserve">CVSS v4.0 vector</t>
  </si>
  <si>
    <t xml:space="preserve">Conf Pb(A)</t>
  </si>
  <si>
    <t xml:space="preserve">Conf Pb(psi,A)</t>
  </si>
  <si>
    <t xml:space="preserve">Conf de</t>
  </si>
  <si>
    <t xml:space="preserve">Conf dm</t>
  </si>
  <si>
    <t xml:space="preserve">Conf theta</t>
  </si>
  <si>
    <t xml:space="preserve">Conf mu</t>
  </si>
  <si>
    <t xml:space="preserve">S1</t>
  </si>
  <si>
    <t xml:space="preserve">Credential compromise of clinical administrator accounts through phishing and MFA fatigue</t>
  </si>
  <si>
    <t xml:space="preserve">CVSS:4.0/AV:N/AC:L/AT:N/PR:N/UI:A/VC:H/VI:H/VA:N/SC:H/SI:L/SA:L</t>
  </si>
  <si>
    <t xml:space="preserve">Medium</t>
  </si>
  <si>
    <t xml:space="preserve">Low</t>
  </si>
  <si>
    <t xml:space="preserve">High</t>
  </si>
  <si>
    <t xml:space="preserve">S2</t>
  </si>
  <si>
    <t xml:space="preserve">Ransomware disrupting EHR access and clinic operations across the network</t>
  </si>
  <si>
    <t xml:space="preserve">CVSS:4.0/AV:L/AC:L/AT:N/PR:N/UI:P/VC:H/VI:H/VA:H/SC:H/SI:H/SA:H</t>
  </si>
  <si>
    <t xml:space="preserve">S3</t>
  </si>
  <si>
    <t xml:space="preserve">Backup environment compromised, preventing recovery after a destructive attack</t>
  </si>
  <si>
    <t xml:space="preserve">CVSS:4.0/AV:N/AC:L/AT:N/PR:H/UI:N/VC:H/VI:H/VA:H/SC:N/SI:N/SA:H</t>
  </si>
  <si>
    <t xml:space="preserve">S4</t>
  </si>
  <si>
    <t xml:space="preserve">Cloud medical-image transfer storage exposed, enabling bulk health-data exfiltration</t>
  </si>
  <si>
    <t xml:space="preserve">CVSS:4.0/AV:N/AC:L/AT:N/PR:N/UI:N/VC:H/VI:N/VA:N/SC:N/SI:N/SA:N</t>
  </si>
  <si>
    <t xml:space="preserve">S5</t>
  </si>
  <si>
    <t xml:space="preserve">Misuse of legitimate clinical, privileged or service-account access to extract patient records</t>
  </si>
  <si>
    <t xml:space="preserve">CVSS:4.0/AV:N/AC:L/AT:N/PR:L/UI:N/VC:H/VI:L/VA:N/SC:N/SI:N/SA:N</t>
  </si>
  <si>
    <t xml:space="preserve">S6</t>
  </si>
  <si>
    <t xml:space="preserve">Exploitation of unpatched internet-facing or end-of-life systems</t>
  </si>
  <si>
    <t xml:space="preserve">CVSS:4.0/AV:N/AC:L/AT:N/PR:N/UI:N/VC:H/VI:H/VA:H/SC:H/SI:H/SA:H</t>
  </si>
  <si>
    <t xml:space="preserve">S7</t>
  </si>
  <si>
    <t xml:space="preserve">Connected medical device used as a foothold to disrupt clinical equipment and reach the EHR network</t>
  </si>
  <si>
    <t xml:space="preserve">CVSS:4.0/AV:A/AC:L/AT:N/PR:N/UI:N/VC:H/VI:H/VA:H/SC:L/SI:L/SA:L</t>
  </si>
  <si>
    <t xml:space="preserve">S8</t>
  </si>
  <si>
    <t xml:space="preserve">Detection and response gaps allow an intrusion to persist and escalate</t>
  </si>
  <si>
    <t xml:space="preserve">CVSS:4.0/AV:L/AC:L/AT:N/PR:N/UI:P/VC:H/VI:H/VA:L/SC:H/SI:L/SA:L</t>
  </si>
  <si>
    <t xml:space="preserve">S9</t>
  </si>
  <si>
    <t xml:space="preserve">Compromise of a critical vendor with remote access to MediBec systems</t>
  </si>
  <si>
    <t xml:space="preserve">CVSS:4.0/AV:N/AC:L/AT:P/PR:L/UI:N/VC:H/VI:H/VA:H/SC:H/SI:H/SA:H</t>
  </si>
  <si>
    <t xml:space="preserve">S10</t>
  </si>
  <si>
    <t xml:space="preserve">Manipulation of patient, medication or billing records undermining clinical decisions</t>
  </si>
  <si>
    <t xml:space="preserve">CVSS:4.0/AV:N/AC:L/AT:N/PR:L/UI:N/VC:L/VI:H/VA:N/SC:N/SI:H/SA:N</t>
  </si>
  <si>
    <t xml:space="preserve">Recommended treatment portfolio (indicative CAD estimates - not quotations or approved budgets)</t>
  </si>
  <si>
    <t xml:space="preserve">Initiative</t>
  </si>
  <si>
    <t xml:space="preserve">Owner</t>
  </si>
  <si>
    <t xml:space="preserve">Priority</t>
  </si>
  <si>
    <t xml:space="preserve">Type</t>
  </si>
  <si>
    <t xml:space="preserve">Initial cost</t>
  </si>
  <si>
    <t xml:space="preserve">Recurring / yr</t>
  </si>
  <si>
    <t xml:space="preserve">Year-1 cost</t>
  </si>
  <si>
    <t xml:space="preserve"># scenarios</t>
  </si>
  <si>
    <t xml:space="preserve">Y1 per scenario</t>
  </si>
  <si>
    <t xml:space="preserve">Start</t>
  </si>
  <si>
    <t xml:space="preserve">End</t>
  </si>
  <si>
    <t xml:space="preserve">Success indicator</t>
  </si>
  <si>
    <t xml:space="preserve">I01</t>
  </si>
  <si>
    <t xml:space="preserve">Phishing-resistant MFA and conditional access</t>
  </si>
  <si>
    <t xml:space="preserve">CIO / Cybersecurity lead</t>
  </si>
  <si>
    <t xml:space="preserve">Immediate</t>
  </si>
  <si>
    <t xml:space="preserve">Prevention</t>
  </si>
  <si>
    <t xml:space="preserve">Month 0</t>
  </si>
  <si>
    <t xml:space="preserve">Month 6</t>
  </si>
  <si>
    <t xml:space="preserve">100% privileged and remote-access accounts on phishing-resistant MFA</t>
  </si>
  <si>
    <t xml:space="preserve">I02</t>
  </si>
  <si>
    <t xml:space="preserve">Privileged access and service-account management (PAM)</t>
  </si>
  <si>
    <t xml:space="preserve">Cybersecurity lead</t>
  </si>
  <si>
    <t xml:space="preserve">Near-term</t>
  </si>
  <si>
    <t xml:space="preserve">Prevention / Governance</t>
  </si>
  <si>
    <t xml:space="preserve">Month 2</t>
  </si>
  <si>
    <t xml:space="preserve">Month 12</t>
  </si>
  <si>
    <t xml:space="preserve">0 standing domain-admin accounts; 100% service accounts vaulted</t>
  </si>
  <si>
    <t xml:space="preserve">I03</t>
  </si>
  <si>
    <t xml:space="preserve">24/7 managed detection and response with centralized logging</t>
  </si>
  <si>
    <t xml:space="preserve">Detection / Response</t>
  </si>
  <si>
    <t xml:space="preserve">MTTD &lt; 1 h, MTTC &lt; 4 h for high-severity alerts; &gt;95% critical log sources</t>
  </si>
  <si>
    <t xml:space="preserve">I04</t>
  </si>
  <si>
    <t xml:space="preserve">Immutable and isolated backup with tested recovery</t>
  </si>
  <si>
    <t xml:space="preserve">CIO (Infrastructure)</t>
  </si>
  <si>
    <t xml:space="preserve">Recovery / Resilience</t>
  </si>
  <si>
    <t xml:space="preserve">Month 9</t>
  </si>
  <si>
    <t xml:space="preserve">100% crown-jewel restore tests pass within RTO</t>
  </si>
  <si>
    <t xml:space="preserve">I05</t>
  </si>
  <si>
    <t xml:space="preserve">Risk-based vulnerability and patch management</t>
  </si>
  <si>
    <t xml:space="preserve">Month 1</t>
  </si>
  <si>
    <t xml:space="preserve">&gt;95% critical vulns remediated within SLA; 0 unsupported internet-facing systems</t>
  </si>
  <si>
    <t xml:space="preserve">I06</t>
  </si>
  <si>
    <t xml:space="preserve">Network segmentation and network access control</t>
  </si>
  <si>
    <t xml:space="preserve">Planned</t>
  </si>
  <si>
    <t xml:space="preserve">Prevention / Resilience</t>
  </si>
  <si>
    <t xml:space="preserve">Month 24</t>
  </si>
  <si>
    <t xml:space="preserve">100% medical devices and guest Wi-Fi in isolated segments</t>
  </si>
  <si>
    <t xml:space="preserve">I07</t>
  </si>
  <si>
    <t xml:space="preserve">Medical device security programme</t>
  </si>
  <si>
    <t xml:space="preserve">Biomedical engineering / Clinical Ops</t>
  </si>
  <si>
    <t xml:space="preserve">Identify / Detection</t>
  </si>
  <si>
    <t xml:space="preserve">Month 3</t>
  </si>
  <si>
    <t xml:space="preserve">100% networked devices inventoried and risk-rated</t>
  </si>
  <si>
    <t xml:space="preserve">I08</t>
  </si>
  <si>
    <t xml:space="preserve">Cloud security posture and secure image transfer</t>
  </si>
  <si>
    <t xml:space="preserve">CIO / Radiology lead</t>
  </si>
  <si>
    <t xml:space="preserve">Prevention / Detection</t>
  </si>
  <si>
    <t xml:space="preserve">0 publicly accessible storage objects; 100% object access logged</t>
  </si>
  <si>
    <t xml:space="preserve">I09</t>
  </si>
  <si>
    <t xml:space="preserve">Data access governance and EHR privacy monitoring</t>
  </si>
  <si>
    <t xml:space="preserve">Privacy officer / CIO</t>
  </si>
  <si>
    <t xml:space="preserve">Governance / Detection</t>
  </si>
  <si>
    <t xml:space="preserve">100% EHR roles recertified quarterly; bulk-access alerts reviewed within 24 h</t>
  </si>
  <si>
    <t xml:space="preserve">I10</t>
  </si>
  <si>
    <t xml:space="preserve">Third-party cyber risk management</t>
  </si>
  <si>
    <t xml:space="preserve">Procurement / Cybersecurity lead</t>
  </si>
  <si>
    <t xml:space="preserve">Governance</t>
  </si>
  <si>
    <t xml:space="preserve">100% critical vendors assessed and under revised clauses</t>
  </si>
  <si>
    <t xml:space="preserve">I11</t>
  </si>
  <si>
    <t xml:space="preserve">Incident response and clinical continuity readiness</t>
  </si>
  <si>
    <t xml:space="preserve">Cybersecurity lead / Clinical Ops</t>
  </si>
  <si>
    <t xml:space="preserve">Response / Resilience</t>
  </si>
  <si>
    <t xml:space="preserve">2 tabletops/year; all 10 clinics with tested downtime procedures</t>
  </si>
  <si>
    <t xml:space="preserve">I12</t>
  </si>
  <si>
    <t xml:space="preserve">Governance, awareness and risk reporting</t>
  </si>
  <si>
    <t xml:space="preserve">Cybersecurity lead / Executive sponsor</t>
  </si>
  <si>
    <t xml:space="preserve">Quarterly KRI report delivered; phishing report rate &gt; 70%</t>
  </si>
  <si>
    <t xml:space="preserve">I13</t>
  </si>
  <si>
    <t xml:space="preserve">Clinical data integrity controls</t>
  </si>
  <si>
    <t xml:space="preserve">CIO / Clinical Ops / Pharmacy lead</t>
  </si>
  <si>
    <t xml:space="preserve">Detection / Recovery</t>
  </si>
  <si>
    <t xml:space="preserve">Month 15</t>
  </si>
  <si>
    <t xml:space="preserve">100% critical record changes attributable and reconciled</t>
  </si>
  <si>
    <t xml:space="preserve">TOTAL (each initiative counted once)</t>
  </si>
  <si>
    <t xml:space="preserve">Check: sum of scenario allocations - portfolio Year-1 total (should be 0)</t>
  </si>
  <si>
    <t xml:space="preserve">Allocation assumption: each initiative's Year-1 cost is split equally across the scenarios it addresses, so shared controls are never charged in full to several scenarios.</t>
  </si>
  <si>
    <t xml:space="preserve">Cyber-insurance premium is excluded (Information gap — organizational validation required: broker quotation required).</t>
  </si>
  <si>
    <t xml:space="preserve">Sensitivity - lower / central / higher cases</t>
  </si>
  <si>
    <t xml:space="preserve">Lower case: Pb(A), Pb(psi,A), de, dm -delta; theta +delta; reductions +delta. Higher case: the reverse. Values clamped to [0.05, 0.99].</t>
  </si>
  <si>
    <t xml:space="preserve">Case</t>
  </si>
  <si>
    <t xml:space="preserve">Shift</t>
  </si>
  <si>
    <t xml:space="preserve">mu</t>
  </si>
  <si>
    <t xml:space="preserve">CVSS</t>
  </si>
  <si>
    <t xml:space="preserve">P red</t>
  </si>
  <si>
    <t xml:space="preserve">I red</t>
  </si>
  <si>
    <t xml:space="preserve">Estimated</t>
  </si>
  <si>
    <t xml:space="preserve">Tolerated</t>
  </si>
  <si>
    <t xml:space="preserve">Ratio</t>
  </si>
  <si>
    <t xml:space="preserve">Lower</t>
  </si>
  <si>
    <t xml:space="preserve">Central</t>
  </si>
  <si>
    <t xml:space="preserve">Higher</t>
  </si>
  <si>
    <t xml:space="preserve">Appetite sensitivity (central parameters): ratio at alternative appetite values</t>
  </si>
  <si>
    <t xml:space="preserve">Appetite 0.20</t>
  </si>
  <si>
    <t xml:space="preserve">Appetite 0.30</t>
  </si>
  <si>
    <t xml:space="preserve">Appetite 0.40</t>
  </si>
  <si>
    <t xml:space="preserve">Case-native escalation view (Business case s.8) - secondary cross-check</t>
  </si>
  <si>
    <t xml:space="preserve">Normalized residual = T x E x I x (1 - C), with T = Pb(A), E = Pb(psi,A), I = (de+dm)/2, C (control maturity) proxied by theta. Post-treatment = current x (1 - P x Q). Analyst mapping - validate.</t>
  </si>
  <si>
    <t xml:space="preserve">T</t>
  </si>
  <si>
    <t xml:space="preserve">E</t>
  </si>
  <si>
    <t xml:space="preserve">I</t>
  </si>
  <si>
    <t xml:space="preserve">C (theta)</t>
  </si>
  <si>
    <t xml:space="preserve">Current residual</t>
  </si>
  <si>
    <t xml:space="preserve">Level</t>
  </si>
  <si>
    <t xml:space="preserve">Post-treatment residual</t>
  </si>
  <si>
    <t xml:space="preserve">Acceptance authority (post)</t>
  </si>
  <si>
    <t xml:space="preserve">Library ref</t>
  </si>
  <si>
    <t xml:space="preserve">Statement</t>
  </si>
  <si>
    <t xml:space="preserve">Threat source</t>
  </si>
  <si>
    <t xml:space="preserve">Vulnerabilities / conditions</t>
  </si>
  <si>
    <t xml:space="preserve">Existing controls (evidence)</t>
  </si>
  <si>
    <t xml:space="preserve">Treatment package</t>
  </si>
  <si>
    <t xml:space="preserve">Initiatives</t>
  </si>
  <si>
    <t xml:space="preserve">Risk owner</t>
  </si>
  <si>
    <t xml:space="preserve">Horizon</t>
  </si>
  <si>
    <t xml:space="preserve">CVSS rationale</t>
  </si>
  <si>
    <t xml:space="preserve">MED-CYR-01 / 12</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</si>
  <si>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</si>
  <si>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Cybercriminal (initial-access broker or ransomware affiliate).</t>
  </si>
  <si>
    <t xml:space="preserve">Push-based MFA without number matching or phishing resistance (E6 - validate); No evidence of conditional access (geo/device) policies; Internet-sourced macro documents reach users (E6); Awareness programme maturity unknown (Information gap)</t>
  </si>
  <si>
    <t xml:space="preserve">Email filtering / antimalware (E2 - effectiveness unknown); MFA push on remote access (E6); EDR alerting (E6 - triage weak)</t>
  </si>
  <si>
    <t xml:space="preserve">Phishing-resistant MFA and conditional access (I01) is the primary lever; PAM (I02) limits blast radius; MDR (I03) shortens dwell time; awareness and reporting (I12).</t>
  </si>
  <si>
    <t xml:space="preserve">I01, I02, I03, I12</t>
  </si>
  <si>
    <t xml:space="preserve">CIO</t>
  </si>
  <si>
    <t xml:space="preserve">0-6 months</t>
  </si>
  <si>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</si>
  <si>
    <t xml:space="preserve">MED-CYR-02</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</si>
  <si>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</si>
  <si>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Ransomware-as-a-service affiliate (double extortion).</t>
  </si>
  <si>
    <t xml:space="preserve">Macro execution and weak alert triage (E6); Segmentation between clinics, servers and backups not evidenced (E2, E7); Privileged credential hygiene unknown (Information gap); Clinic downtime procedures untested (E7)</t>
  </si>
  <si>
    <t xml:space="preserve">Firewalls, IDS/IPS, antimalware (E2); EDR (E6); On-site and off-site backups (E2 - isolation and testing unknown); Incident command structure defined (E6 - untested)</t>
  </si>
  <si>
    <t xml:space="preserve">Layered: MDR/EDR (I03), PAM (I02), segmentation (I06), immutable backup (I04), patching (I05), IR and downtime procedures (I11), awareness (I12). Residual remains material - consider cyber-insurance transfer.</t>
  </si>
  <si>
    <t xml:space="preserve">I02, I03, I04, I05, I06, I11, I12</t>
  </si>
  <si>
    <t xml:space="preserve">Executive leadership (COO) with CIO</t>
  </si>
  <si>
    <t xml:space="preserve">0-24 months</t>
  </si>
  <si>
    <t xml:space="preserve">Representative weakness: malicious macro document leading to code execution (initial vector in E6). AV:L: the document is delivered by e-mail but opened and executed locally on the workstation (FIRST CVSS v4.0 user guide scores malicious documents as Local whatever the delivery channel); AC:L; AT:N; PR:N; UI:P user opens the document; VC/VI/VA:H on the workstation; SC/SI/SA:H because EHR and clinic systems are subsequently affected. CVSS describes the entry weakness only, not the enterprise impact.</t>
  </si>
  <si>
    <t xml:space="preserve">MED-CYR-07</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</si>
  <si>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</si>
  <si>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Ransomware operator or other attacker with administrative access.</t>
  </si>
  <si>
    <t xml:space="preserve">Backup consoles authenticated through production directory (Analyst assumption - validate); No immutable or offline copy evidenced; Restore testing and RTO/RPO not evidenced (E7); Backup failure alerts not escalated (E6)</t>
  </si>
  <si>
    <t xml:space="preserve">On-site and off-site backups (E2); Encrypted storage (E2)</t>
  </si>
  <si>
    <t xml:space="preserve">Immutable/offline copies with separate backup identity (I04), segmentation (I06), PAM (I02), backup-alert monitoring (I03), quarterly restore tests and IR integration (I11).</t>
  </si>
  <si>
    <t xml:space="preserve">I02, I03, I04, I06, I11</t>
  </si>
  <si>
    <t xml:space="preserve">0-9 months</t>
  </si>
  <si>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</si>
  <si>
    <t xml:space="preserve">MED-CYR-03</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</si>
  <si>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</si>
  <si>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Opportunistic scanner or cybercriminal data broker.</t>
  </si>
  <si>
    <t xml:space="preserve">Permissive or long-lived sharing links (Analyst assumption); No cloud posture management evidenced; Object-level access logging unknown (E4); Exports contain identifiers alongside images</t>
  </si>
  <si>
    <t xml:space="preserve">Encrypted storage (E2 - at-rest only, not access control); Cloud access via identity (E2)</t>
  </si>
  <si>
    <t xml:space="preserve">Block public access and enforce expiring authenticated links (I08); DLP and data minimization in exports (I09); object-access logging to MDR (I03).</t>
  </si>
  <si>
    <t xml:space="preserve">I03, I08, I09</t>
  </si>
  <si>
    <t xml:space="preserve">CIO with Privacy officer</t>
  </si>
  <si>
    <t xml:space="preserve">Representative weakness: storage object accessible without authentication (CWE-284 misconfiguration). AV:N, AC:L, AT:N, PR:N, UI:N; confidentiality only (VC:H).</t>
  </si>
  <si>
    <t xml:space="preserve">MED-CYR-11 (+ service-account evidence)</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</si>
  <si>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</si>
  <si>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Malicious or negligent insider; external actor using a service account.</t>
  </si>
  <si>
    <t xml:space="preserve">Broad role-based access in EHR (Analyst assumption); Over-privileged service account without vaulting (E6); No EHR access analytics or periodic recertification evidenced (E7); No DLP evidenced</t>
  </si>
  <si>
    <t xml:space="preserve">EHR audit log exists (E6); Encrypted storage (E2)</t>
  </si>
  <si>
    <t xml:space="preserve">Least-privilege redesign and access recertification plus EHR access analytics and DLP (I09); vault and restrict service accounts (I02); MDR use-cases (I03); HR/awareness (I12).</t>
  </si>
  <si>
    <t xml:space="preserve">I02, I03, I09, I12</t>
  </si>
  <si>
    <t xml:space="preserve">Privacy officer</t>
  </si>
  <si>
    <t xml:space="preserve">3-12 months</t>
  </si>
  <si>
    <t xml:space="preserve">Limited applicability: insider misuse is not a software vulnerability. Representative weakness used for the workbook: excessive privileges on an authenticated account (CWE-269). PR:L legitimate low-privilege access; VC:H bulk read; VI:L. Interpret with caution.</t>
  </si>
  <si>
    <t xml:space="preserve">MED-CYR-06</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</si>
  <si>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</si>
  <si>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Cybercriminal / state-linked actor using public exploits.</t>
  </si>
  <si>
    <t xml:space="preserve">Patch SLAs and exception governance not evidenced (E7); Incomplete asset inventory (E4); Possible end-of-life systems (Information gap)</t>
  </si>
  <si>
    <t xml:space="preserve">Firewalls, IDS/IPS (E2); Antimalware (E2)</t>
  </si>
  <si>
    <t xml:space="preserve">Risk-based vulnerability and patch management with KEV SLAs and EOL retirement (I05); segmentation behind the edge (I06); MDR threat hunting (I03).</t>
  </si>
  <si>
    <t xml:space="preserve">I03, I05, I06</t>
  </si>
  <si>
    <t xml:space="preserve">1-9 months</t>
  </si>
  <si>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</si>
  <si>
    <t xml:space="preserve">MED-CYR-09 (+ Wi-Fi path MED-CYR-05)</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</si>
  <si>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</si>
  <si>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Cybercriminal (opportunistic or during ransomware operation).</t>
  </si>
  <si>
    <t xml:space="preserve">Incomplete device inventory (E4); Embedded OS patching restricted by certification (E3); Devices and guest/clinical Wi-Fi not segmented (E4, E7 - validate); Default credentials (Analyst assumption)</t>
  </si>
  <si>
    <t xml:space="preserve">Firewalls and IDS/IPS at hub (E2 - east-west coverage unknown)</t>
  </si>
  <si>
    <t xml:space="preserve">Medical device security programme (I07), segmentation and NAC including guest Wi-Fi isolation (I06), patch/compensating controls (I05). Residual depends on manufacturers.</t>
  </si>
  <si>
    <t xml:space="preserve">I05, I06, I07</t>
  </si>
  <si>
    <t xml:space="preserve">Clinical Ops with Biomedical engineering</t>
  </si>
  <si>
    <t xml:space="preserve">3-24 months</t>
  </si>
  <si>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</si>
  <si>
    <t xml:space="preserve">MED-CYR-08 / 15</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</si>
  <si>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</si>
  <si>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Any external actor (amplifier scenario).</t>
  </si>
  <si>
    <t xml:space="preserve">No 24/7 monitoring (E3 - inferred); Alert triage criteria weak (E6); Log coverage and retention unknown (E4); IR plan untested; decision rights unclear (E8)</t>
  </si>
  <si>
    <t xml:space="preserve">IDS/IPS (E2); EDR (E6); Incident command roles defined (E6)</t>
  </si>
  <si>
    <t xml:space="preserve">24/7 MDR with centralized logging and escalation criteria (I03); IR plan, playbooks, retainer and tabletop exercises across clinics (I11); governance reporting (I12).</t>
  </si>
  <si>
    <t xml:space="preserve">I01, I03, I11, I12</t>
  </si>
  <si>
    <t xml:space="preserve">Limited applicability: a detection gap is a control weakness, not a vulnerability. Representative weakness for the workbook: the undetected initial code-execution vector (macro/PowerShell, E6), scored AV:L because the e-mailed document is opened and executed locally (FIRST CVSS v4.0 user guide). Do not interpret the score as the severity of the detection gap.</t>
  </si>
  <si>
    <t xml:space="preserve">MED-CYR-14</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</si>
  <si>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</si>
  <si>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Supply-chain attacker (cybercriminal or state-linked).</t>
  </si>
  <si>
    <t xml:space="preserve">Standing vendor remote access (Analyst assumption); No vendor tiering or assessments evidenced (E7); Incident-notification clauses unknown (E5); Vendor sessions not brokered or recorded</t>
  </si>
  <si>
    <t xml:space="preserve">Firewalls (E2); Vendor coordination role defined for incidents (E6)</t>
  </si>
  <si>
    <t xml:space="preserve">Third-party risk programme and contract clauses (I10); vendor access only through PAM with MFA and recording (I01/I02); MDR monitoring of vendor sessions (I03); joint IR (I11). Residual largely outside MediBec's control - consider contractual and insurance transfer.</t>
  </si>
  <si>
    <t xml:space="preserve">I01, I02, I03, I10, I11</t>
  </si>
  <si>
    <t xml:space="preserve">Procurement with CIO</t>
  </si>
  <si>
    <t xml:space="preserve">2-12 months</t>
  </si>
  <si>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</si>
  <si>
    <t xml:space="preserve">MED-CYR-13</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</si>
  <si>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</si>
  <si>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External attacker (extortion or sabotage) or malicious insider.</t>
  </si>
  <si>
    <t xml:space="preserve">No integrity monitoring or reconciliation evidenced (E8); Broad write privileges (Analyst assumption); Audit trail review not evidenced; Post-restore integrity verification absent</t>
  </si>
  <si>
    <t xml:space="preserve">EHR audit logging (E6); Encrypted storage (E2 - no integrity protection)</t>
  </si>
  <si>
    <t xml:space="preserve">Integrity monitoring and reconciliation (I13), least-privilege write access (I09/I02), strong authentication (I01), backup-based verification (I04), MDR (I03), clinical playbook (I11).</t>
  </si>
  <si>
    <t xml:space="preserve">I01, I02, I03, I04, I09, I11, I13</t>
  </si>
  <si>
    <t xml:space="preserve">Clinical Ops (CMO)</t>
  </si>
  <si>
    <t xml:space="preserve">3-15 months</t>
  </si>
  <si>
    <t xml:space="preserve">Representative weakness: authenticated user able to modify records beyond need (improper authorization, CWE-285). PR:L; VI:H; SI:H because pharmacy/lab downstream systems consume the altered data.</t>
  </si>
  <si>
    <t xml:space="preserve">Candidate scenario</t>
  </si>
  <si>
    <t xml:space="preserve">Vulnerability / condition</t>
  </si>
  <si>
    <t xml:space="preserve">Primary asset</t>
  </si>
  <si>
    <t xml:space="preserve">Undesired outcome</t>
  </si>
  <si>
    <t xml:space="preserve">Decision</t>
  </si>
  <si>
    <t xml:space="preserve">Screening rationale</t>
  </si>
  <si>
    <t xml:space="preserve">C01</t>
  </si>
  <si>
    <t xml:space="preserve">Phishing-led compromise of clinic administrator credentials</t>
  </si>
  <si>
    <t xml:space="preserve">Cybercriminal</t>
  </si>
  <si>
    <t xml:space="preserve">Push-based MFA susceptible to fatigue; macro attachments delivered</t>
  </si>
  <si>
    <t xml:space="preserve">CJ5 / CJ1</t>
  </si>
  <si>
    <t xml:space="preserve">Unauthorized EHR and remote access</t>
  </si>
  <si>
    <t xml:space="preserve">MED-CYR-01, 12</t>
  </si>
  <si>
    <t xml:space="preserve">Selected (S1)</t>
  </si>
  <si>
    <t xml:space="preserve">Most frequent initial-access path; directly evidenced by injects E6.</t>
  </si>
  <si>
    <t xml:space="preserve">C02</t>
  </si>
  <si>
    <t xml:space="preserve">Ransomware encrypting EHR support systems, shared folders and scheduling</t>
  </si>
  <si>
    <t xml:space="preserve">Ransomware group</t>
  </si>
  <si>
    <t xml:space="preserve">Flat internal network; weak alert triage; backups reachable</t>
  </si>
  <si>
    <t xml:space="preserve">CJ1 / CJ3 / CJ6</t>
  </si>
  <si>
    <t xml:space="preserve">Multi-clinic disruption and data theft</t>
  </si>
  <si>
    <t xml:space="preserve">Selected (S2)</t>
  </si>
  <si>
    <t xml:space="preserve">Highest combined clinical, privacy and operational consequence.</t>
  </si>
  <si>
    <t xml:space="preserve">C03</t>
  </si>
  <si>
    <t xml:space="preserve">Backup environment compromised before encryption, recovery fails</t>
  </si>
  <si>
    <t xml:space="preserve">Ransomware group / privileged attacker</t>
  </si>
  <si>
    <t xml:space="preserve">Backups in same admin domain; restore testing not evidenced</t>
  </si>
  <si>
    <t xml:space="preserve">CJ6</t>
  </si>
  <si>
    <t xml:space="preserve">Prolonged outage, loss of recoverability</t>
  </si>
  <si>
    <t xml:space="preserve">Selected (S3)</t>
  </si>
  <si>
    <t xml:space="preserve">Determines whether S2 is survivable; backup failures in E6.</t>
  </si>
  <si>
    <t xml:space="preserve">C04</t>
  </si>
  <si>
    <t xml:space="preserve">Cloud medical-image transfer storage exposed or accessed externally</t>
  </si>
  <si>
    <t xml:space="preserve">Opportunistic actor / cybercriminal</t>
  </si>
  <si>
    <t xml:space="preserve">Permissive sharing, weak cloud logging and posture management</t>
  </si>
  <si>
    <t xml:space="preserve">CJ7</t>
  </si>
  <si>
    <t xml:space="preserve">Bulk health-data exposure</t>
  </si>
  <si>
    <t xml:space="preserve">Selected (S4)</t>
  </si>
  <si>
    <t xml:space="preserve">Large-volume PHI exposure; evidenced by unusual downloads (E6).</t>
  </si>
  <si>
    <t xml:space="preserve">C05</t>
  </si>
  <si>
    <t xml:space="preserve">API key committed to a code repository enables data access</t>
  </si>
  <si>
    <t xml:space="preserve">Opportunistic actor</t>
  </si>
  <si>
    <t xml:space="preserve">No secret scanning or vault evidenced</t>
  </si>
  <si>
    <t xml:space="preserve">CJ1 / CJ7</t>
  </si>
  <si>
    <t xml:space="preserve">Direct API data extraction</t>
  </si>
  <si>
    <t xml:space="preserve">MED-CYR-04</t>
  </si>
  <si>
    <t xml:space="preserve">Not selected</t>
  </si>
  <si>
    <t xml:space="preserve">Plausible but thin evidence on MediBec's development footprint; controls partly shared with S4/S5. Keep on watch list.</t>
  </si>
  <si>
    <t xml:space="preserve">C06</t>
  </si>
  <si>
    <t xml:space="preserve">Clinic Wi-Fi compromise or rogue access point</t>
  </si>
  <si>
    <t xml:space="preserve">Local attacker</t>
  </si>
  <si>
    <t xml:space="preserve">Guest/clinical Wi-Fi segmentation not evidenced</t>
  </si>
  <si>
    <t xml:space="preserve">Clinic LAN</t>
  </si>
  <si>
    <t xml:space="preserve">Internal network foothold</t>
  </si>
  <si>
    <t xml:space="preserve">MED-CYR-05</t>
  </si>
  <si>
    <t xml:space="preserve">Merged into S7</t>
  </si>
  <si>
    <t xml:space="preserve">Treated as an access path; the consequence driver is the flat network addressed in S7/S2.</t>
  </si>
  <si>
    <t xml:space="preserve">C07</t>
  </si>
  <si>
    <t xml:space="preserve">Cybercriminal / state-linked actor</t>
  </si>
  <si>
    <t xml:space="preserve">Patch delays from uptime and vendor constraints</t>
  </si>
  <si>
    <t xml:space="preserve">CJ5 / CJ6</t>
  </si>
  <si>
    <t xml:space="preserve">Remote code execution and intrusion</t>
  </si>
  <si>
    <t xml:space="preserve">Selected (S6)</t>
  </si>
  <si>
    <t xml:space="preserve">Mass exploitation of edge devices is a leading entry vector; patching constraints documented (E3).</t>
  </si>
  <si>
    <t xml:space="preserve">C08</t>
  </si>
  <si>
    <t xml:space="preserve">Intrusion goes undetected because monitoring and triage are insufficient</t>
  </si>
  <si>
    <t xml:space="preserve">Any external actor</t>
  </si>
  <si>
    <t xml:space="preserve">2-person team, alert closed as low severity, log coverage unknown</t>
  </si>
  <si>
    <t xml:space="preserve">All</t>
  </si>
  <si>
    <t xml:space="preserve">Extended dwell time, amplified harm</t>
  </si>
  <si>
    <t xml:space="preserve">MED-CYR-08</t>
  </si>
  <si>
    <t xml:space="preserve">Selected (S8)</t>
  </si>
  <si>
    <t xml:space="preserve">Systemic amplifier; directly evidenced (E3, E6).</t>
  </si>
  <si>
    <t xml:space="preserve">C09</t>
  </si>
  <si>
    <t xml:space="preserve">Connected medical device used as network foothold</t>
  </si>
  <si>
    <t xml:space="preserve">Unpatched embedded OS, incomplete inventory, weak segmentation</t>
  </si>
  <si>
    <t xml:space="preserve">CJ8</t>
  </si>
  <si>
    <t xml:space="preserve">Device disruption, lateral movement</t>
  </si>
  <si>
    <t xml:space="preserve">MED-CYR-09</t>
  </si>
  <si>
    <t xml:space="preserve">Selected (S7)</t>
  </si>
  <si>
    <t xml:space="preserve">Only scenario with direct patient-safety pathway through equipment.</t>
  </si>
  <si>
    <t xml:space="preserve">C10</t>
  </si>
  <si>
    <t xml:space="preserve">DDoS against patient-facing online services</t>
  </si>
  <si>
    <t xml:space="preserve">Hacktivist / extortionist</t>
  </si>
  <si>
    <t xml:space="preserve">No DDoS protection evidenced</t>
  </si>
  <si>
    <t xml:space="preserve">CJ3</t>
  </si>
  <si>
    <t xml:space="preserve">Online booking unavailable</t>
  </si>
  <si>
    <t xml:space="preserve">MED-CYR-10</t>
  </si>
  <si>
    <t xml:space="preserve">Clinics can continue care; limited privacy impact; criticality of online services not documented.</t>
  </si>
  <si>
    <t xml:space="preserve">C11</t>
  </si>
  <si>
    <t xml:space="preserve">Staff member exports health or billing records for unauthorized purposes</t>
  </si>
  <si>
    <t xml:space="preserve">Malicious or curious insider</t>
  </si>
  <si>
    <t xml:space="preserve">Broad EHR roles, limited access analytics</t>
  </si>
  <si>
    <t xml:space="preserve">CJ1 / CJ4</t>
  </si>
  <si>
    <t xml:space="preserve">Privacy breach</t>
  </si>
  <si>
    <t xml:space="preserve">MED-CYR-11</t>
  </si>
  <si>
    <t xml:space="preserve">Selected (S5, merged with C15)</t>
  </si>
  <si>
    <t xml:space="preserve">Common in healthcare; high regulatory significance.</t>
  </si>
  <si>
    <t xml:space="preserve">C12</t>
  </si>
  <si>
    <t xml:space="preserve">Alteration of patient, medication or billing records</t>
  </si>
  <si>
    <t xml:space="preserve">Attacker or insider</t>
  </si>
  <si>
    <t xml:space="preserve">Limited integrity monitoring and reconciliation</t>
  </si>
  <si>
    <t xml:space="preserve">CJ1 / CJ2</t>
  </si>
  <si>
    <t xml:space="preserve">Unsafe clinical decisions, billing errors</t>
  </si>
  <si>
    <t xml:space="preserve">Selected (S10)</t>
  </si>
  <si>
    <t xml:space="preserve">Lower likelihood but severe patient-safety consequence.</t>
  </si>
  <si>
    <t xml:space="preserve">C13</t>
  </si>
  <si>
    <t xml:space="preserve">Compromise of a vendor with remote access to MediBec systems</t>
  </si>
  <si>
    <t xml:space="preserve">Supply-chain attacker</t>
  </si>
  <si>
    <t xml:space="preserve">Standing vendor access, limited assurance</t>
  </si>
  <si>
    <t xml:space="preserve">CJ1 / CJ2 / CJ8</t>
  </si>
  <si>
    <t xml:space="preserve">Trusted-path intrusion</t>
  </si>
  <si>
    <t xml:space="preserve">Selected (S9)</t>
  </si>
  <si>
    <t xml:space="preserve">Many critical vendors (EHR, devices, cloud); controls largely absent.</t>
  </si>
  <si>
    <t xml:space="preserve">C14</t>
  </si>
  <si>
    <t xml:space="preserve">Untested incident response plan causes poor coordination</t>
  </si>
  <si>
    <t xml:space="preserve">Any incident</t>
  </si>
  <si>
    <t xml:space="preserve">No tabletop evidence across clinics</t>
  </si>
  <si>
    <t xml:space="preserve">Slow, uncoordinated response</t>
  </si>
  <si>
    <t xml:space="preserve">MED-CYR-15</t>
  </si>
  <si>
    <t xml:space="preserve">Merged into S8</t>
  </si>
  <si>
    <t xml:space="preserve">A resilience condition rather than a threat; combined with detection into one response-capacity scenario.</t>
  </si>
  <si>
    <t xml:space="preserve">C15</t>
  </si>
  <si>
    <t xml:space="preserve">Over-privileged service account (ehr-sync-svc) abused for mass extraction</t>
  </si>
  <si>
    <t xml:space="preserve">External attacker or insider</t>
  </si>
  <si>
    <t xml:space="preserve">Service account privileges, no vaulting</t>
  </si>
  <si>
    <t xml:space="preserve">CJ1</t>
  </si>
  <si>
    <t xml:space="preserve">Mass PHI extraction</t>
  </si>
  <si>
    <t xml:space="preserve">Evidence E6</t>
  </si>
  <si>
    <t xml:space="preserve">Merged into S5</t>
  </si>
  <si>
    <t xml:space="preserve">Same control family (privileged and legitimate-access misuse).</t>
  </si>
  <si>
    <t xml:space="preserve">C16</t>
  </si>
  <si>
    <t xml:space="preserve">Montreal data centre or WAN outage isolates all clinics</t>
  </si>
  <si>
    <t xml:space="preserve">Accidental / environmental</t>
  </si>
  <si>
    <t xml:space="preserve">Single hub dependency</t>
  </si>
  <si>
    <t xml:space="preserve">Enterprise-wide outage</t>
  </si>
  <si>
    <t xml:space="preserve">Annex B #49</t>
  </si>
  <si>
    <t xml:space="preserve">Non-malicious availability risk; better handled in BCP/DR review. Shares recovery controls with S3.</t>
  </si>
  <si>
    <t xml:space="preserve">C17</t>
  </si>
  <si>
    <t xml:space="preserve">Unmanaged copies on local clinic storage units exposed</t>
  </si>
  <si>
    <t xml:space="preserve">Theft / insider</t>
  </si>
  <si>
    <t xml:space="preserve">Data sprawl, local storage outside central controls</t>
  </si>
  <si>
    <t xml:space="preserve">Clinic storage</t>
  </si>
  <si>
    <t xml:space="preserve">Local data breach</t>
  </si>
  <si>
    <t xml:space="preserve">Annex B #55</t>
  </si>
  <si>
    <t xml:space="preserve">Encryption documented (E2); exposure absorbed into S2/S3 scope.</t>
  </si>
  <si>
    <t xml:space="preserve">C18</t>
  </si>
  <si>
    <t xml:space="preserve">Business e-mail compromise diverts billing payments</t>
  </si>
  <si>
    <t xml:space="preserve">Fraudster</t>
  </si>
  <si>
    <t xml:space="preserve">Weak payment verification</t>
  </si>
  <si>
    <t xml:space="preserve">CJ4</t>
  </si>
  <si>
    <t xml:space="preserve">Financial loss</t>
  </si>
  <si>
    <t xml:space="preserve">Annex B #71</t>
  </si>
  <si>
    <t xml:space="preserve">Financial only; lower mission impact than selected scenarios.</t>
  </si>
  <si>
    <t xml:space="preserve">C19</t>
  </si>
  <si>
    <t xml:space="preserve">Lost or stolen tablet or handheld with patient data</t>
  </si>
  <si>
    <t xml:space="preserve">Opportunistic thief</t>
  </si>
  <si>
    <t xml:space="preserve">Mobile device management not evidenced</t>
  </si>
  <si>
    <t xml:space="preserve">Endpoints</t>
  </si>
  <si>
    <t xml:space="preserve">Limited data exposure</t>
  </si>
  <si>
    <t xml:space="preserve">Annex B #7</t>
  </si>
  <si>
    <t xml:space="preserve">Lower volume of records; standard MDM control.</t>
  </si>
  <si>
    <t xml:space="preserve">C20</t>
  </si>
  <si>
    <t xml:space="preserve">MFA push-fatigue bypass of remote access</t>
  </si>
  <si>
    <t xml:space="preserve">Push approval without number matching</t>
  </si>
  <si>
    <t xml:space="preserve">CJ5</t>
  </si>
  <si>
    <t xml:space="preserve">Account takeover</t>
  </si>
  <si>
    <t xml:space="preserve">Merged into S1</t>
  </si>
  <si>
    <t xml:space="preserve">Same causal chain as C01.</t>
  </si>
  <si>
    <t xml:space="preserve">KRI</t>
  </si>
  <si>
    <t xml:space="preserve">Scenarios</t>
  </si>
  <si>
    <t xml:space="preserve">Measurement</t>
  </si>
  <si>
    <t xml:space="preserve">Data source</t>
  </si>
  <si>
    <t xml:space="preserve">Frequency</t>
  </si>
  <si>
    <t xml:space="preserve">Target</t>
  </si>
  <si>
    <t xml:space="preserve">Warning</t>
  </si>
  <si>
    <t xml:space="preserve">Critical</t>
  </si>
  <si>
    <t xml:space="preserve">KRI-01</t>
  </si>
  <si>
    <t xml:space="preserve">% privileged and remote-access accounts on phishing-resistant MFA</t>
  </si>
  <si>
    <t xml:space="preserve">S1, S8, S9</t>
  </si>
  <si>
    <t xml:space="preserve">Accounts with FIDO2 / total in-scope accounts</t>
  </si>
  <si>
    <t xml:space="preserve">IdP / directory report</t>
  </si>
  <si>
    <t xml:space="preserve">Monthly</t>
  </si>
  <si>
    <t xml:space="preserve">100%</t>
  </si>
  <si>
    <t xml:space="preserve">&lt; 95%</t>
  </si>
  <si>
    <t xml:space="preserve">&lt; 85%</t>
  </si>
  <si>
    <t xml:space="preserve">KRI-02</t>
  </si>
  <si>
    <t xml:space="preserve">Phishing simulation report rate / click rate</t>
  </si>
  <si>
    <t xml:space="preserve">S1, S2</t>
  </si>
  <si>
    <t xml:space="preserve">Reported vs clicked in simulations</t>
  </si>
  <si>
    <t xml:space="preserve">Awareness platform</t>
  </si>
  <si>
    <t xml:space="preserve">Quarterly</t>
  </si>
  <si>
    <t xml:space="preserve">&gt; 70% / &lt; 5%</t>
  </si>
  <si>
    <t xml:space="preserve">&lt; 50% / &gt; 8%</t>
  </si>
  <si>
    <t xml:space="preserve">&lt; 30% / &gt; 15%</t>
  </si>
  <si>
    <t xml:space="preserve">KRI-03</t>
  </si>
  <si>
    <t xml:space="preserve">% critical/known-exploited vulnerabilities remediated within SLA</t>
  </si>
  <si>
    <t xml:space="preserve">S6, S2</t>
  </si>
  <si>
    <t xml:space="preserve">Closed within SLA / total</t>
  </si>
  <si>
    <t xml:space="preserve">Vulnerability scanner</t>
  </si>
  <si>
    <t xml:space="preserve">&gt; 95%</t>
  </si>
  <si>
    <t xml:space="preserve">&lt; 90%</t>
  </si>
  <si>
    <t xml:space="preserve">&lt; 75%</t>
  </si>
  <si>
    <t xml:space="preserve">KRI-04</t>
  </si>
  <si>
    <t xml:space="preserve">Number of unsupported (end-of-life) systems on patient-data or internet-facing networks</t>
  </si>
  <si>
    <t xml:space="preserve">S6, S7</t>
  </si>
  <si>
    <t xml:space="preserve">Count from inventory</t>
  </si>
  <si>
    <t xml:space="preserve">CMDB / scanner</t>
  </si>
  <si>
    <t xml:space="preserve">0</t>
  </si>
  <si>
    <t xml:space="preserve">&gt;= 1</t>
  </si>
  <si>
    <t xml:space="preserve">&gt;= 5</t>
  </si>
  <si>
    <t xml:space="preserve">KRI-05</t>
  </si>
  <si>
    <t xml:space="preserve">Crown-jewel backup restore-test success rate within RTO</t>
  </si>
  <si>
    <t xml:space="preserve">S2, S3, S10</t>
  </si>
  <si>
    <t xml:space="preserve">Successful tests / tests run</t>
  </si>
  <si>
    <t xml:space="preserve">Backup platform, DR test records</t>
  </si>
  <si>
    <t xml:space="preserve">&lt; 80%</t>
  </si>
  <si>
    <t xml:space="preserve">KRI-06</t>
  </si>
  <si>
    <t xml:space="preserve">EDR and log coverage of critical assets</t>
  </si>
  <si>
    <t xml:space="preserve">S2, S8</t>
  </si>
  <si>
    <t xml:space="preserve">Assets reporting / inventory</t>
  </si>
  <si>
    <t xml:space="preserve">EDR console, SIEM</t>
  </si>
  <si>
    <t xml:space="preserve">&gt; 98%</t>
  </si>
  <si>
    <t xml:space="preserve">KRI-07</t>
  </si>
  <si>
    <t xml:space="preserve">Mean time to detect / contain high-severity incidents</t>
  </si>
  <si>
    <t xml:space="preserve">S8, S2</t>
  </si>
  <si>
    <t xml:space="preserve">Median hours from first signal to detection / containment</t>
  </si>
  <si>
    <t xml:space="preserve">MDR reports</t>
  </si>
  <si>
    <t xml:space="preserve">&lt; 1 h / &lt; 4 h</t>
  </si>
  <si>
    <t xml:space="preserve">&gt; 4 h / &gt; 24 h</t>
  </si>
  <si>
    <t xml:space="preserve">&gt; 24 h / &gt; 72 h</t>
  </si>
  <si>
    <t xml:space="preserve">KRI-08</t>
  </si>
  <si>
    <t xml:space="preserve">Publicly accessible cloud storage objects containing health data</t>
  </si>
  <si>
    <t xml:space="preserve">Count from CSPM</t>
  </si>
  <si>
    <t xml:space="preserve">CSPM</t>
  </si>
  <si>
    <t xml:space="preserve">Weekly</t>
  </si>
  <si>
    <t xml:space="preserve">&gt;= 1 with PHI</t>
  </si>
  <si>
    <t xml:space="preserve">KRI-09</t>
  </si>
  <si>
    <t xml:space="preserve">% EHR roles recertified and bulk-access alerts reviewed within 24 h</t>
  </si>
  <si>
    <t xml:space="preserve">S5, S10</t>
  </si>
  <si>
    <t xml:space="preserve">Recertified / total; reviewed / raised</t>
  </si>
  <si>
    <t xml:space="preserve">EHR access analytics, IAM</t>
  </si>
  <si>
    <t xml:space="preserve">KRI-10</t>
  </si>
  <si>
    <t xml:space="preserve">% networked medical devices inventoried and in isolated segments</t>
  </si>
  <si>
    <t xml:space="preserve">Segmented devices / inventoried</t>
  </si>
  <si>
    <t xml:space="preserve">IoMT monitoring, NAC</t>
  </si>
  <si>
    <t xml:space="preserve">Biomedical engineering</t>
  </si>
  <si>
    <t xml:space="preserve">&lt; 70%</t>
  </si>
  <si>
    <t xml:space="preserve">KRI-11</t>
  </si>
  <si>
    <t xml:space="preserve">% critical vendors assessed with current notification clauses</t>
  </si>
  <si>
    <t xml:space="preserve">Assessed / critical vendors</t>
  </si>
  <si>
    <t xml:space="preserve">TPRM register</t>
  </si>
  <si>
    <t xml:space="preserve">Procurement</t>
  </si>
  <si>
    <t xml:space="preserve">KRI-12</t>
  </si>
  <si>
    <t xml:space="preserve">Clinics with tested downtime procedures (last 12 months)</t>
  </si>
  <si>
    <t xml:space="preserve">Clinics tested / 10</t>
  </si>
  <si>
    <t xml:space="preserve">Tabletop records</t>
  </si>
  <si>
    <t xml:space="preserve">Clinical Ops</t>
  </si>
  <si>
    <t xml:space="preserve">Semi-annual</t>
  </si>
  <si>
    <t xml:space="preserve">10/10</t>
  </si>
  <si>
    <t xml:space="preserve">&lt; 8</t>
  </si>
  <si>
    <t xml:space="preserve">&lt; 5</t>
  </si>
  <si>
    <t xml:space="preserve">Source</t>
  </si>
  <si>
    <t xml:space="preserve">Basis</t>
  </si>
  <si>
    <t xml:space="preserve">Content used</t>
  </si>
  <si>
    <t xml:space="preserve">E1</t>
  </si>
  <si>
    <t xml:space="preserve">MediBec business case v2.0b, s.3 - Background and healthcare profile</t>
  </si>
  <si>
    <t xml:space="preserve">Documented (case)</t>
  </si>
  <si>
    <t xml:space="preserve">HQ Montreal; 10 clinics (Montreal, Quebec City, Gatineau, Saguenay); EHR, radiology, lab, pharmacy, billing, communications; sensitive health data.</t>
  </si>
  <si>
    <t xml:space="preserve">E2</t>
  </si>
  <si>
    <t xml:space="preserve">Business case s.4 - Technology environment table</t>
  </si>
  <si>
    <t xml:space="preserve">Central network hub in Montreal, WAN fibre to clinics, firewalls, IDS/IPS, antivirus/antimalware; Montreal data centre, local clinic storage, on-site and off-site backups, encrypted storage; cloud-based remote access; interconnected medical equipment.</t>
  </si>
  <si>
    <t xml:space="preserve">E3</t>
  </si>
  <si>
    <t xml:space="preserve">Business case s.4 - Operating model and budget context</t>
  </si>
  <si>
    <t xml:space="preserve">15-person IT department, 2 dedicated cybersecurity staff; stated IT budget CAD 100M incl. salaries; 2024-2030 roadmap; medical-device certification and clinical change constraints.</t>
  </si>
  <si>
    <t xml:space="preserve">E4</t>
  </si>
  <si>
    <t xml:space="preserve">Business case s.5 - Threat context</t>
  </si>
  <si>
    <t xml:space="preserve">Multiple unsuccessful attack attempts since 2020, increasing recently; no confirmed successful breach; open questions on log sufficiency, device inventories, cloud configuration.</t>
  </si>
  <si>
    <t xml:space="preserve">E5</t>
  </si>
  <si>
    <t xml:space="preserve">Business case s.8 - Risk appetite statement</t>
  </si>
  <si>
    <t xml:space="preserve">Low appetite for patient safety, health-data confidentiality, compliance, public trust; moderate for governed innovation; normalized tolerance 0.40; residual &gt;0.25 executive review, &gt;0.40 Board acceptance.</t>
  </si>
  <si>
    <t xml:space="preserve">E6</t>
  </si>
  <si>
    <t xml:space="preserve">Business case s.6 and Appendices A-B - Incident injects and technical evidence</t>
  </si>
  <si>
    <t xml:space="preserve">Exercise evidence (illustrative - validate)</t>
  </si>
  <si>
    <t xml:space="preserve">Phishing with .docm macro; EDR PowerShell alert closed as low severity; remote login from unusual geography with MFA push approved; cloud medical_image_export.zip downloaded from unknown IP; ehr-sync-svc service account unusual query volume; clinic backup failures.</t>
  </si>
  <si>
    <t xml:space="preserve">E7</t>
  </si>
  <si>
    <t xml:space="preserve">Business case s.7 - Audit universe</t>
  </si>
  <si>
    <t xml:space="preserve">Auditable areas incl. EHR access/IAM, cloud/remote access, backup, medical device/IoT, Wi-Fi, patching, IDS/SIEM, privacy, third parties, API keys, awareness, remediation governance.</t>
  </si>
  <si>
    <t xml:space="preserve">E8</t>
  </si>
  <si>
    <t xml:space="preserve">Business case s.9 - Scenario library MED-CYR-01 to 15</t>
  </si>
  <si>
    <t xml:space="preserve">Fifteen candidate scenario themes with suggested control families.</t>
  </si>
  <si>
    <t xml:space="preserve">E9</t>
  </si>
  <si>
    <t xml:space="preserve">Business case Instructor Annex A - Detailed scenarios</t>
  </si>
  <si>
    <t xml:space="preserve">Illustrative values (calibration only)</t>
  </si>
  <si>
    <t xml:space="preserve">Illustrative probabilities, damages, resilience, CVSS v3.1 and budgets. Used only as a calibration cross-check; not adopted as evidence.</t>
  </si>
  <si>
    <t xml:space="preserve">E10</t>
  </si>
  <si>
    <t xml:space="preserve">Project KB - Cybersecurity Risk Assessment Excel Guide v1.0c</t>
  </si>
  <si>
    <t xml:space="preserve">Methodology</t>
  </si>
  <si>
    <t xml:space="preserve">Authoritative risk-index formulas; CVSS v4.0; multiplication factor 1,000 in worked example; reductions must stay within 0-1.</t>
  </si>
  <si>
    <t xml:space="preserve">E11</t>
  </si>
  <si>
    <t xml:space="preserve">Project KB - Master task specification / Scenario development guide</t>
  </si>
  <si>
    <t xml:space="preserve">Scenario construction standard, 20-to-10 screening, reporting structure, QC checklist.</t>
  </si>
  <si>
    <t xml:space="preserve">E12</t>
  </si>
  <si>
    <t xml:space="preserve">FIRST CVSS v4.0 specification (computed with the 'cvss' Python library)</t>
  </si>
  <si>
    <t xml:space="preserve">External reference</t>
  </si>
  <si>
    <t xml:space="preserve">Base scores (CVSS-B) computed from the documented vectors.</t>
  </si>
</sst>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0"/>
    <numFmt numFmtId="169" formatCode="0"/>
    <numFmt numFmtId="170" formatCode="\$#,##0;&quot;($&quot;#,##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FF2CC"/>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row>
    <row r="9" customFormat="false" ht="15" hidden="false" customHeight="false" outlineLevel="0" collapsed="false">
      <c r="A9" s="2" t="s">
        <v>5</v>
      </c>
    </row>
    <row r="10" customFormat="false" ht="1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row>
    <row r="25" customFormat="false" ht="15" hidden="false" customHeight="false" outlineLevel="0" collapsed="false">
      <c r="A25"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7"/>
    <col collapsed="false" customWidth="true" hidden="false" outlineLevel="0" max="4" min="4" style="0" width="8"/>
    <col collapsed="false" customWidth="true" hidden="false" outlineLevel="0" max="5" min="5" style="0" width="7"/>
    <col collapsed="false" customWidth="true" hidden="false" outlineLevel="0" max="7" min="6" style="0" width="6"/>
    <col collapsed="false" customWidth="true" hidden="false" outlineLevel="0" max="9" min="8" style="0" width="7"/>
    <col collapsed="false" customWidth="true" hidden="false" outlineLevel="0" max="11" min="10" style="0" width="8"/>
    <col collapsed="false" customWidth="true" hidden="false" outlineLevel="0" max="13" min="12" style="0" width="11"/>
    <col collapsed="false" customWidth="true" hidden="false" outlineLevel="0" max="14" min="14" style="0" width="10"/>
    <col collapsed="false" customWidth="true" hidden="false" outlineLevel="0" max="15" min="15" style="0" width="12"/>
    <col collapsed="false" customWidth="true" hidden="false" outlineLevel="0" max="17" min="16" style="0" width="9"/>
    <col collapsed="false" customWidth="true" hidden="false" outlineLevel="0" max="19" min="18" style="0" width="11"/>
    <col collapsed="false" customWidth="true" hidden="false" outlineLevel="0" max="20" min="20" style="0" width="10"/>
    <col collapsed="false" customWidth="true" hidden="false" outlineLevel="0" max="21" min="21" style="0" width="24"/>
    <col collapsed="false" customWidth="true" hidden="false" outlineLevel="0" max="22" min="22" style="0" width="12"/>
    <col collapsed="false" customWidth="true" hidden="false" outlineLevel="0" max="23" min="23" style="0" width="10"/>
  </cols>
  <sheetData>
    <row r="1" customFormat="false" ht="17.35" hidden="false" customHeight="false" outlineLevel="0" collapsed="false">
      <c r="A1" s="1" t="s">
        <v>20</v>
      </c>
    </row>
    <row r="2" customFormat="false" ht="15" hidden="false" customHeight="false" outlineLevel="0" collapsed="false">
      <c r="A2" s="2" t="s">
        <v>21</v>
      </c>
    </row>
    <row r="4" customFormat="false" ht="35.05" hidden="false" customHeight="false" outlineLevel="0" collapsed="false">
      <c r="A4" s="3" t="s">
        <v>22</v>
      </c>
      <c r="B4" s="3" t="s">
        <v>23</v>
      </c>
      <c r="C4" s="3" t="s">
        <v>24</v>
      </c>
      <c r="D4" s="3" t="s">
        <v>25</v>
      </c>
      <c r="E4" s="3" t="s">
        <v>26</v>
      </c>
      <c r="F4" s="3" t="s">
        <v>27</v>
      </c>
      <c r="G4" s="3" t="s">
        <v>28</v>
      </c>
      <c r="H4" s="3" t="s">
        <v>29</v>
      </c>
      <c r="I4" s="3" t="s">
        <v>30</v>
      </c>
      <c r="J4" s="3" t="s">
        <v>31</v>
      </c>
      <c r="K4" s="3" t="s">
        <v>32</v>
      </c>
      <c r="L4" s="3" t="s">
        <v>33</v>
      </c>
      <c r="M4" s="3" t="s">
        <v>34</v>
      </c>
      <c r="N4" s="3" t="s">
        <v>35</v>
      </c>
      <c r="O4" s="3" t="s">
        <v>36</v>
      </c>
      <c r="P4" s="3" t="s">
        <v>37</v>
      </c>
      <c r="Q4" s="3" t="s">
        <v>38</v>
      </c>
      <c r="R4" s="3" t="s">
        <v>39</v>
      </c>
      <c r="S4" s="3" t="s">
        <v>40</v>
      </c>
      <c r="T4" s="3" t="s">
        <v>41</v>
      </c>
      <c r="U4" s="3" t="s">
        <v>42</v>
      </c>
      <c r="V4" s="3" t="s">
        <v>43</v>
      </c>
      <c r="W4" s="3" t="s">
        <v>44</v>
      </c>
    </row>
    <row r="5" customFormat="false" ht="23.85" hidden="false" customHeight="false" outlineLevel="0" collapsed="false">
      <c r="A5" s="4" t="str">
        <f aca="false">Inputs!A4</f>
        <v>S1</v>
      </c>
      <c r="B5" s="5" t="str">
        <f aca="false">Inputs!B4</f>
        <v>Credential compromise of clinical administrator accounts through phishing and MFA fatigue</v>
      </c>
      <c r="C5" s="6" t="n">
        <f aca="false">Inputs!C4</f>
        <v>0.85</v>
      </c>
      <c r="D5" s="6" t="n">
        <f aca="false">Inputs!D4</f>
        <v>0.55</v>
      </c>
      <c r="E5" s="7" t="n">
        <f aca="false">Inputs!J4</f>
        <v>9.3</v>
      </c>
      <c r="F5" s="6" t="n">
        <f aca="false">Inputs!E4</f>
        <v>0.55</v>
      </c>
      <c r="G5" s="6" t="n">
        <f aca="false">Inputs!F4</f>
        <v>0.85</v>
      </c>
      <c r="H5" s="6" t="n">
        <f aca="false">Inputs!H4</f>
        <v>0.85</v>
      </c>
      <c r="I5" s="6" t="n">
        <f aca="false">Inputs!G4</f>
        <v>0.4</v>
      </c>
      <c r="J5" s="6" t="n">
        <f aca="false">Parameters!$B$4</f>
        <v>0.3</v>
      </c>
      <c r="K5" s="8" t="n">
        <f aca="false">Parameters!$B$5</f>
        <v>1000</v>
      </c>
      <c r="L5" s="9" t="n">
        <f aca="false">C5*D5*E5*((F5+G5)/2)*H5/I5*K5</f>
        <v>6467.278125</v>
      </c>
      <c r="M5" s="9" t="n">
        <f aca="false">C5*D5*E5*J5*H5/I5*K5</f>
        <v>2771.690625</v>
      </c>
      <c r="N5" s="10" t="n">
        <f aca="false">L5/M5</f>
        <v>2.33333333333333</v>
      </c>
      <c r="O5" s="11" t="n">
        <f aca="false">Portfolio!K17</f>
        <v>223888.888888889</v>
      </c>
      <c r="P5" s="6" t="n">
        <f aca="false">Inputs!K4</f>
        <v>0.8</v>
      </c>
      <c r="Q5" s="6" t="n">
        <f aca="false">Inputs!L4</f>
        <v>0.75</v>
      </c>
      <c r="R5" s="9" t="n">
        <f aca="false">L5*P5*Q5</f>
        <v>3880.366875</v>
      </c>
      <c r="S5" s="9" t="n">
        <f aca="false">L5-R5</f>
        <v>2586.91125</v>
      </c>
      <c r="T5" s="10" t="n">
        <f aca="false">S5/M5</f>
        <v>0.933333333333333</v>
      </c>
      <c r="U5" s="12" t="str">
        <f aca="false">IF(T5&lt;Parameters!$B$6,"Below tolerance",IF(T5&lt;=Parameters!$B$7,"Approximately at tolerance","Above tolerance"))</f>
        <v>Approximately at tolerance</v>
      </c>
      <c r="V5" s="10" t="n">
        <f aca="false">IF(O5=0,0,(L5-S5)/O5*1000)</f>
        <v>17.3316634615385</v>
      </c>
      <c r="W5" s="12" t="str">
        <f aca="false">IF(AND(P5&gt;=0,P5&lt;=1,Q5&gt;=0,Q5&lt;=1),"OK","CHECK")</f>
        <v>OK</v>
      </c>
    </row>
    <row r="6" customFormat="false" ht="23.85" hidden="false" customHeight="false" outlineLevel="0" collapsed="false">
      <c r="A6" s="4" t="str">
        <f aca="false">Inputs!A5</f>
        <v>S2</v>
      </c>
      <c r="B6" s="5" t="str">
        <f aca="false">Inputs!B5</f>
        <v>Ransomware disrupting EHR access and clinic operations across the network</v>
      </c>
      <c r="C6" s="6" t="n">
        <f aca="false">Inputs!C5</f>
        <v>0.75</v>
      </c>
      <c r="D6" s="6" t="n">
        <f aca="false">Inputs!D5</f>
        <v>0.5</v>
      </c>
      <c r="E6" s="7" t="n">
        <f aca="false">Inputs!J5</f>
        <v>9.3</v>
      </c>
      <c r="F6" s="6" t="n">
        <f aca="false">Inputs!E5</f>
        <v>0.7</v>
      </c>
      <c r="G6" s="6" t="n">
        <f aca="false">Inputs!F5</f>
        <v>0.95</v>
      </c>
      <c r="H6" s="6" t="n">
        <f aca="false">Inputs!H5</f>
        <v>0.95</v>
      </c>
      <c r="I6" s="6" t="n">
        <f aca="false">Inputs!G5</f>
        <v>0.35</v>
      </c>
      <c r="J6" s="6" t="n">
        <f aca="false">Parameters!$B$4</f>
        <v>0.3</v>
      </c>
      <c r="K6" s="8" t="n">
        <f aca="false">Parameters!$B$5</f>
        <v>1000</v>
      </c>
      <c r="L6" s="9" t="n">
        <f aca="false">C6*D6*E6*((F6+G6)/2)*H6/I6*K6</f>
        <v>7809.50892857143</v>
      </c>
      <c r="M6" s="9" t="n">
        <f aca="false">C6*D6*E6*J6*H6/I6*K6</f>
        <v>2839.82142857143</v>
      </c>
      <c r="N6" s="10" t="n">
        <f aca="false">L6/M6</f>
        <v>2.75</v>
      </c>
      <c r="O6" s="11" t="n">
        <f aca="false">Portfolio!L17</f>
        <v>585888.888888889</v>
      </c>
      <c r="P6" s="6" t="n">
        <f aca="false">Inputs!K5</f>
        <v>0.75</v>
      </c>
      <c r="Q6" s="6" t="n">
        <f aca="false">Inputs!L5</f>
        <v>0.75</v>
      </c>
      <c r="R6" s="9" t="n">
        <f aca="false">L6*P6*Q6</f>
        <v>4392.84877232143</v>
      </c>
      <c r="S6" s="9" t="n">
        <f aca="false">L6-R6</f>
        <v>3416.66015625</v>
      </c>
      <c r="T6" s="10" t="n">
        <f aca="false">S6/M6</f>
        <v>1.203125</v>
      </c>
      <c r="U6" s="12" t="str">
        <f aca="false">IF(T6&lt;Parameters!$B$6,"Below tolerance",IF(T6&lt;=Parameters!$B$7,"Approximately at tolerance","Above tolerance"))</f>
        <v>Above tolerance</v>
      </c>
      <c r="V6" s="10" t="n">
        <f aca="false">IF(O6=0,0,(L6-S6)/O6*1000)</f>
        <v>7.49775060703449</v>
      </c>
      <c r="W6" s="12" t="str">
        <f aca="false">IF(AND(P6&gt;=0,P6&lt;=1,Q6&gt;=0,Q6&lt;=1),"OK","CHECK")</f>
        <v>OK</v>
      </c>
    </row>
    <row r="7" customFormat="false" ht="23.85" hidden="false" customHeight="false" outlineLevel="0" collapsed="false">
      <c r="A7" s="4" t="str">
        <f aca="false">Inputs!A6</f>
        <v>S3</v>
      </c>
      <c r="B7" s="5" t="str">
        <f aca="false">Inputs!B6</f>
        <v>Backup environment compromised, preventing recovery after a destructive attack</v>
      </c>
      <c r="C7" s="6" t="n">
        <f aca="false">Inputs!C6</f>
        <v>0.55</v>
      </c>
      <c r="D7" s="6" t="n">
        <f aca="false">Inputs!D6</f>
        <v>0.5</v>
      </c>
      <c r="E7" s="7" t="n">
        <f aca="false">Inputs!J6</f>
        <v>9.2</v>
      </c>
      <c r="F7" s="6" t="n">
        <f aca="false">Inputs!E6</f>
        <v>0.6</v>
      </c>
      <c r="G7" s="6" t="n">
        <f aca="false">Inputs!F6</f>
        <v>0.9</v>
      </c>
      <c r="H7" s="6" t="n">
        <f aca="false">Inputs!H6</f>
        <v>0.9</v>
      </c>
      <c r="I7" s="6" t="n">
        <f aca="false">Inputs!G6</f>
        <v>0.35</v>
      </c>
      <c r="J7" s="6" t="n">
        <f aca="false">Parameters!$B$4</f>
        <v>0.3</v>
      </c>
      <c r="K7" s="8" t="n">
        <f aca="false">Parameters!$B$5</f>
        <v>1000</v>
      </c>
      <c r="L7" s="9" t="n">
        <f aca="false">C7*D7*E7*((F7+G7)/2)*H7/I7*K7</f>
        <v>4879.28571428572</v>
      </c>
      <c r="M7" s="9" t="n">
        <f aca="false">C7*D7*E7*J7*H7/I7*K7</f>
        <v>1951.71428571429</v>
      </c>
      <c r="N7" s="10" t="n">
        <f aca="false">L7/M7</f>
        <v>2.5</v>
      </c>
      <c r="O7" s="11" t="n">
        <f aca="false">Portfolio!M17</f>
        <v>423888.888888889</v>
      </c>
      <c r="P7" s="6" t="n">
        <f aca="false">Inputs!K6</f>
        <v>0.8</v>
      </c>
      <c r="Q7" s="6" t="n">
        <f aca="false">Inputs!L6</f>
        <v>0.85</v>
      </c>
      <c r="R7" s="9" t="n">
        <f aca="false">L7*P7*Q7</f>
        <v>3317.91428571429</v>
      </c>
      <c r="S7" s="9" t="n">
        <f aca="false">L7-R7</f>
        <v>1561.37142857143</v>
      </c>
      <c r="T7" s="10" t="n">
        <f aca="false">S7/M7</f>
        <v>0.8</v>
      </c>
      <c r="U7" s="12" t="str">
        <f aca="false">IF(T7&lt;Parameters!$B$6,"Below tolerance",IF(T7&lt;=Parameters!$B$7,"Approximately at tolerance","Above tolerance"))</f>
        <v>Below tolerance</v>
      </c>
      <c r="V7" s="10" t="n">
        <f aca="false">IF(O7=0,0,(L7-S7)/O7*1000)</f>
        <v>7.82732072645572</v>
      </c>
      <c r="W7" s="12" t="str">
        <f aca="false">IF(AND(P7&gt;=0,P7&lt;=1,Q7&gt;=0,Q7&lt;=1),"OK","CHECK")</f>
        <v>OK</v>
      </c>
    </row>
    <row r="8" customFormat="false" ht="23.85" hidden="false" customHeight="false" outlineLevel="0" collapsed="false">
      <c r="A8" s="4" t="str">
        <f aca="false">Inputs!A7</f>
        <v>S4</v>
      </c>
      <c r="B8" s="5" t="str">
        <f aca="false">Inputs!B7</f>
        <v>Cloud medical-image transfer storage exposed, enabling bulk health-data exfiltration</v>
      </c>
      <c r="C8" s="6" t="n">
        <f aca="false">Inputs!C7</f>
        <v>0.6</v>
      </c>
      <c r="D8" s="6" t="n">
        <f aca="false">Inputs!D7</f>
        <v>0.45</v>
      </c>
      <c r="E8" s="7" t="n">
        <f aca="false">Inputs!J7</f>
        <v>8.7</v>
      </c>
      <c r="F8" s="6" t="n">
        <f aca="false">Inputs!E7</f>
        <v>0.55</v>
      </c>
      <c r="G8" s="6" t="n">
        <f aca="false">Inputs!F7</f>
        <v>0.8</v>
      </c>
      <c r="H8" s="6" t="n">
        <f aca="false">Inputs!H7</f>
        <v>0.75</v>
      </c>
      <c r="I8" s="6" t="n">
        <f aca="false">Inputs!G7</f>
        <v>0.4</v>
      </c>
      <c r="J8" s="6" t="n">
        <f aca="false">Parameters!$B$4</f>
        <v>0.3</v>
      </c>
      <c r="K8" s="8" t="n">
        <f aca="false">Parameters!$B$5</f>
        <v>1000</v>
      </c>
      <c r="L8" s="9" t="n">
        <f aca="false">C8*D8*E8*((F8+G8)/2)*H8/I8*K8</f>
        <v>2972.953125</v>
      </c>
      <c r="M8" s="9" t="n">
        <f aca="false">C8*D8*E8*J8*H8/I8*K8</f>
        <v>1321.3125</v>
      </c>
      <c r="N8" s="10" t="n">
        <f aca="false">L8/M8</f>
        <v>2.25</v>
      </c>
      <c r="O8" s="11" t="n">
        <f aca="false">Portfolio!N17</f>
        <v>345555.555555556</v>
      </c>
      <c r="P8" s="6" t="n">
        <f aca="false">Inputs!K7</f>
        <v>0.85</v>
      </c>
      <c r="Q8" s="6" t="n">
        <f aca="false">Inputs!L7</f>
        <v>0.7</v>
      </c>
      <c r="R8" s="9" t="n">
        <f aca="false">L8*P8*Q8</f>
        <v>1768.907109375</v>
      </c>
      <c r="S8" s="9" t="n">
        <f aca="false">L8-R8</f>
        <v>1204.046015625</v>
      </c>
      <c r="T8" s="10" t="n">
        <f aca="false">S8/M8</f>
        <v>0.91125</v>
      </c>
      <c r="U8" s="12" t="str">
        <f aca="false">IF(T8&lt;Parameters!$B$6,"Below tolerance",IF(T8&lt;=Parameters!$B$7,"Approximately at tolerance","Above tolerance"))</f>
        <v>Approximately at tolerance</v>
      </c>
      <c r="V8" s="10" t="n">
        <f aca="false">IF(O8=0,0,(L8-S8)/O8*1000)</f>
        <v>5.1190237891881</v>
      </c>
      <c r="W8" s="12" t="str">
        <f aca="false">IF(AND(P8&gt;=0,P8&lt;=1,Q8&gt;=0,Q8&lt;=1),"OK","CHECK")</f>
        <v>OK</v>
      </c>
    </row>
    <row r="9" customFormat="false" ht="23.85" hidden="false" customHeight="false" outlineLevel="0" collapsed="false">
      <c r="A9" s="4" t="str">
        <f aca="false">Inputs!A8</f>
        <v>S5</v>
      </c>
      <c r="B9" s="5" t="str">
        <f aca="false">Inputs!B8</f>
        <v>Misuse of legitimate clinical, privileged or service-account access to extract patient records</v>
      </c>
      <c r="C9" s="6" t="n">
        <f aca="false">Inputs!C8</f>
        <v>0.6</v>
      </c>
      <c r="D9" s="6" t="n">
        <f aca="false">Inputs!D8</f>
        <v>0.55</v>
      </c>
      <c r="E9" s="7" t="n">
        <f aca="false">Inputs!J8</f>
        <v>7.1</v>
      </c>
      <c r="F9" s="6" t="n">
        <f aca="false">Inputs!E8</f>
        <v>0.45</v>
      </c>
      <c r="G9" s="6" t="n">
        <f aca="false">Inputs!F8</f>
        <v>0.75</v>
      </c>
      <c r="H9" s="6" t="n">
        <f aca="false">Inputs!H8</f>
        <v>0.8</v>
      </c>
      <c r="I9" s="6" t="n">
        <f aca="false">Inputs!G8</f>
        <v>0.4</v>
      </c>
      <c r="J9" s="6" t="n">
        <f aca="false">Parameters!$B$4</f>
        <v>0.3</v>
      </c>
      <c r="K9" s="8" t="n">
        <f aca="false">Parameters!$B$5</f>
        <v>1000</v>
      </c>
      <c r="L9" s="9" t="n">
        <f aca="false">C9*D9*E9*((F9+G9)/2)*H9/I9*K9</f>
        <v>2811.6</v>
      </c>
      <c r="M9" s="9" t="n">
        <f aca="false">C9*D9*E9*J9*H9/I9*K9</f>
        <v>1405.8</v>
      </c>
      <c r="N9" s="10" t="n">
        <f aca="false">L9/M9</f>
        <v>2</v>
      </c>
      <c r="O9" s="11" t="n">
        <f aca="false">Portfolio!O17</f>
        <v>260555.555555556</v>
      </c>
      <c r="P9" s="6" t="n">
        <f aca="false">Inputs!K8</f>
        <v>0.6</v>
      </c>
      <c r="Q9" s="6" t="n">
        <f aca="false">Inputs!L8</f>
        <v>0.65</v>
      </c>
      <c r="R9" s="9" t="n">
        <f aca="false">L9*P9*Q9</f>
        <v>1096.524</v>
      </c>
      <c r="S9" s="9" t="n">
        <f aca="false">L9-R9</f>
        <v>1715.076</v>
      </c>
      <c r="T9" s="10" t="n">
        <f aca="false">S9/M9</f>
        <v>1.22</v>
      </c>
      <c r="U9" s="12" t="str">
        <f aca="false">IF(T9&lt;Parameters!$B$6,"Below tolerance",IF(T9&lt;=Parameters!$B$7,"Approximately at tolerance","Above tolerance"))</f>
        <v>Above tolerance</v>
      </c>
      <c r="V9" s="10" t="n">
        <f aca="false">IF(O9=0,0,(L9-S9)/O9*1000)</f>
        <v>4.20840767590618</v>
      </c>
      <c r="W9" s="12" t="str">
        <f aca="false">IF(AND(P9&gt;=0,P9&lt;=1,Q9&gt;=0,Q9&lt;=1),"OK","CHECK")</f>
        <v>OK</v>
      </c>
    </row>
    <row r="10" customFormat="false" ht="15" hidden="false" customHeight="false" outlineLevel="0" collapsed="false">
      <c r="A10" s="4" t="str">
        <f aca="false">Inputs!A9</f>
        <v>S6</v>
      </c>
      <c r="B10" s="5" t="str">
        <f aca="false">Inputs!B9</f>
        <v>Exploitation of unpatched internet-facing or end-of-life systems</v>
      </c>
      <c r="C10" s="6" t="n">
        <f aca="false">Inputs!C9</f>
        <v>0.8</v>
      </c>
      <c r="D10" s="6" t="n">
        <f aca="false">Inputs!D9</f>
        <v>0.5</v>
      </c>
      <c r="E10" s="7" t="n">
        <f aca="false">Inputs!J9</f>
        <v>10</v>
      </c>
      <c r="F10" s="6" t="n">
        <f aca="false">Inputs!E9</f>
        <v>0.6</v>
      </c>
      <c r="G10" s="6" t="n">
        <f aca="false">Inputs!F9</f>
        <v>0.9</v>
      </c>
      <c r="H10" s="6" t="n">
        <f aca="false">Inputs!H9</f>
        <v>0.85</v>
      </c>
      <c r="I10" s="6" t="n">
        <f aca="false">Inputs!G9</f>
        <v>0.4</v>
      </c>
      <c r="J10" s="6" t="n">
        <f aca="false">Parameters!$B$4</f>
        <v>0.3</v>
      </c>
      <c r="K10" s="8" t="n">
        <f aca="false">Parameters!$B$5</f>
        <v>1000</v>
      </c>
      <c r="L10" s="9" t="n">
        <f aca="false">C10*D10*E10*((F10+G10)/2)*H10/I10*K10</f>
        <v>6375</v>
      </c>
      <c r="M10" s="9" t="n">
        <f aca="false">C10*D10*E10*J10*H10/I10*K10</f>
        <v>2550</v>
      </c>
      <c r="N10" s="10" t="n">
        <f aca="false">L10/M10</f>
        <v>2.5</v>
      </c>
      <c r="O10" s="11" t="n">
        <f aca="false">Portfolio!P17</f>
        <v>320888.888888889</v>
      </c>
      <c r="P10" s="6" t="n">
        <f aca="false">Inputs!K9</f>
        <v>0.85</v>
      </c>
      <c r="Q10" s="6" t="n">
        <f aca="false">Inputs!L9</f>
        <v>0.7</v>
      </c>
      <c r="R10" s="9" t="n">
        <f aca="false">L10*P10*Q10</f>
        <v>3793.125</v>
      </c>
      <c r="S10" s="9" t="n">
        <f aca="false">L10-R10</f>
        <v>2581.875</v>
      </c>
      <c r="T10" s="10" t="n">
        <f aca="false">S10/M10</f>
        <v>1.0125</v>
      </c>
      <c r="U10" s="12" t="str">
        <f aca="false">IF(T10&lt;Parameters!$B$6,"Below tolerance",IF(T10&lt;=Parameters!$B$7,"Approximately at tolerance","Above tolerance"))</f>
        <v>Approximately at tolerance</v>
      </c>
      <c r="V10" s="10" t="n">
        <f aca="false">IF(O10=0,0,(L10-S10)/O10*1000)</f>
        <v>11.820680401662</v>
      </c>
      <c r="W10" s="12" t="str">
        <f aca="false">IF(AND(P10&gt;=0,P10&lt;=1,Q10&gt;=0,Q10&lt;=1),"OK","CHECK")</f>
        <v>OK</v>
      </c>
    </row>
    <row r="11" customFormat="false" ht="23.85" hidden="false" customHeight="false" outlineLevel="0" collapsed="false">
      <c r="A11" s="4" t="str">
        <f aca="false">Inputs!A10</f>
        <v>S7</v>
      </c>
      <c r="B11" s="5" t="str">
        <f aca="false">Inputs!B10</f>
        <v>Connected medical device used as a foothold to disrupt clinical equipment and reach the EHR network</v>
      </c>
      <c r="C11" s="6" t="n">
        <f aca="false">Inputs!C10</f>
        <v>0.45</v>
      </c>
      <c r="D11" s="6" t="n">
        <f aca="false">Inputs!D10</f>
        <v>0.5</v>
      </c>
      <c r="E11" s="7" t="n">
        <f aca="false">Inputs!J10</f>
        <v>8.7</v>
      </c>
      <c r="F11" s="6" t="n">
        <f aca="false">Inputs!E10</f>
        <v>0.55</v>
      </c>
      <c r="G11" s="6" t="n">
        <f aca="false">Inputs!F10</f>
        <v>0.95</v>
      </c>
      <c r="H11" s="6" t="n">
        <f aca="false">Inputs!H10</f>
        <v>0.9</v>
      </c>
      <c r="I11" s="6" t="n">
        <f aca="false">Inputs!G10</f>
        <v>0.35</v>
      </c>
      <c r="J11" s="6" t="n">
        <f aca="false">Parameters!$B$4</f>
        <v>0.3</v>
      </c>
      <c r="K11" s="8" t="n">
        <f aca="false">Parameters!$B$5</f>
        <v>1000</v>
      </c>
      <c r="L11" s="9" t="n">
        <f aca="false">C11*D11*E11*((F11+G11)/2)*H11/I11*K11</f>
        <v>3775.17857142857</v>
      </c>
      <c r="M11" s="9" t="n">
        <f aca="false">C11*D11*E11*J11*H11/I11*K11</f>
        <v>1510.07142857143</v>
      </c>
      <c r="N11" s="10" t="n">
        <f aca="false">L11/M11</f>
        <v>2.5</v>
      </c>
      <c r="O11" s="11" t="n">
        <f aca="false">Portfolio!Q17</f>
        <v>522000</v>
      </c>
      <c r="P11" s="6" t="n">
        <f aca="false">Inputs!K10</f>
        <v>0.7</v>
      </c>
      <c r="Q11" s="6" t="n">
        <f aca="false">Inputs!L10</f>
        <v>0.6</v>
      </c>
      <c r="R11" s="9" t="n">
        <f aca="false">L11*P11*Q11</f>
        <v>1585.575</v>
      </c>
      <c r="S11" s="9" t="n">
        <f aca="false">L11-R11</f>
        <v>2189.60357142857</v>
      </c>
      <c r="T11" s="10" t="n">
        <f aca="false">S11/M11</f>
        <v>1.45</v>
      </c>
      <c r="U11" s="12" t="str">
        <f aca="false">IF(T11&lt;Parameters!$B$6,"Below tolerance",IF(T11&lt;=Parameters!$B$7,"Approximately at tolerance","Above tolerance"))</f>
        <v>Above tolerance</v>
      </c>
      <c r="V11" s="10" t="n">
        <f aca="false">IF(O11=0,0,(L11-S11)/O11*1000)</f>
        <v>3.0375</v>
      </c>
      <c r="W11" s="12" t="str">
        <f aca="false">IF(AND(P11&gt;=0,P11&lt;=1,Q11&gt;=0,Q11&lt;=1),"OK","CHECK")</f>
        <v>OK</v>
      </c>
    </row>
    <row r="12" customFormat="false" ht="23.85" hidden="false" customHeight="false" outlineLevel="0" collapsed="false">
      <c r="A12" s="4" t="str">
        <f aca="false">Inputs!A11</f>
        <v>S8</v>
      </c>
      <c r="B12" s="5" t="str">
        <f aca="false">Inputs!B11</f>
        <v>Detection and response gaps allow an intrusion to persist and escalate</v>
      </c>
      <c r="C12" s="6" t="n">
        <f aca="false">Inputs!C11</f>
        <v>0.8</v>
      </c>
      <c r="D12" s="6" t="n">
        <f aca="false">Inputs!D11</f>
        <v>0.6</v>
      </c>
      <c r="E12" s="7" t="n">
        <f aca="false">Inputs!J11</f>
        <v>9.2</v>
      </c>
      <c r="F12" s="6" t="n">
        <f aca="false">Inputs!E11</f>
        <v>0.6</v>
      </c>
      <c r="G12" s="6" t="n">
        <f aca="false">Inputs!F11</f>
        <v>0.9</v>
      </c>
      <c r="H12" s="6" t="n">
        <f aca="false">Inputs!H11</f>
        <v>0.85</v>
      </c>
      <c r="I12" s="6" t="n">
        <f aca="false">Inputs!G11</f>
        <v>0.3</v>
      </c>
      <c r="J12" s="6" t="n">
        <f aca="false">Parameters!$B$4</f>
        <v>0.3</v>
      </c>
      <c r="K12" s="8" t="n">
        <f aca="false">Parameters!$B$5</f>
        <v>1000</v>
      </c>
      <c r="L12" s="9" t="n">
        <f aca="false">C12*D12*E12*((F12+G12)/2)*H12/I12*K12</f>
        <v>9384</v>
      </c>
      <c r="M12" s="9" t="n">
        <f aca="false">C12*D12*E12*J12*H12/I12*K12</f>
        <v>3753.6</v>
      </c>
      <c r="N12" s="10" t="n">
        <f aca="false">L12/M12</f>
        <v>2.5</v>
      </c>
      <c r="O12" s="11" t="n">
        <f aca="false">Portfolio!R17</f>
        <v>208888.888888889</v>
      </c>
      <c r="P12" s="6" t="n">
        <f aca="false">Inputs!K11</f>
        <v>0.7</v>
      </c>
      <c r="Q12" s="6" t="n">
        <f aca="false">Inputs!L11</f>
        <v>0.8</v>
      </c>
      <c r="R12" s="9" t="n">
        <f aca="false">L12*P12*Q12</f>
        <v>5255.04</v>
      </c>
      <c r="S12" s="9" t="n">
        <f aca="false">L12-R12</f>
        <v>4128.96</v>
      </c>
      <c r="T12" s="10" t="n">
        <f aca="false">S12/M12</f>
        <v>1.1</v>
      </c>
      <c r="U12" s="12" t="str">
        <f aca="false">IF(T12&lt;Parameters!$B$6,"Below tolerance",IF(T12&lt;=Parameters!$B$7,"Approximately at tolerance","Above tolerance"))</f>
        <v>Approximately at tolerance</v>
      </c>
      <c r="V12" s="10" t="n">
        <f aca="false">IF(O12=0,0,(L12-S12)/O12*1000)</f>
        <v>25.1571063829787</v>
      </c>
      <c r="W12" s="12" t="str">
        <f aca="false">IF(AND(P12&gt;=0,P12&lt;=1,Q12&gt;=0,Q12&lt;=1),"OK","CHECK")</f>
        <v>OK</v>
      </c>
    </row>
    <row r="13" customFormat="false" ht="23.85" hidden="false" customHeight="false" outlineLevel="0" collapsed="false">
      <c r="A13" s="4" t="str">
        <f aca="false">Inputs!A12</f>
        <v>S9</v>
      </c>
      <c r="B13" s="5" t="str">
        <f aca="false">Inputs!B12</f>
        <v>Compromise of a critical vendor with remote access to MediBec systems</v>
      </c>
      <c r="C13" s="6" t="n">
        <f aca="false">Inputs!C12</f>
        <v>0.55</v>
      </c>
      <c r="D13" s="6" t="n">
        <f aca="false">Inputs!D12</f>
        <v>0.45</v>
      </c>
      <c r="E13" s="7" t="n">
        <f aca="false">Inputs!J12</f>
        <v>9</v>
      </c>
      <c r="F13" s="6" t="n">
        <f aca="false">Inputs!E12</f>
        <v>0.6</v>
      </c>
      <c r="G13" s="6" t="n">
        <f aca="false">Inputs!F12</f>
        <v>0.9</v>
      </c>
      <c r="H13" s="6" t="n">
        <f aca="false">Inputs!H12</f>
        <v>0.85</v>
      </c>
      <c r="I13" s="6" t="n">
        <f aca="false">Inputs!G12</f>
        <v>0.35</v>
      </c>
      <c r="J13" s="6" t="n">
        <f aca="false">Parameters!$B$4</f>
        <v>0.3</v>
      </c>
      <c r="K13" s="8" t="n">
        <f aca="false">Parameters!$B$5</f>
        <v>1000</v>
      </c>
      <c r="L13" s="9" t="n">
        <f aca="false">C13*D13*E13*((F13+G13)/2)*H13/I13*K13</f>
        <v>4057.23214285714</v>
      </c>
      <c r="M13" s="9" t="n">
        <f aca="false">C13*D13*E13*J13*H13/I13*K13</f>
        <v>1622.89285714286</v>
      </c>
      <c r="N13" s="10" t="n">
        <f aca="false">L13/M13</f>
        <v>2.5</v>
      </c>
      <c r="O13" s="11" t="n">
        <f aca="false">Portfolio!S17</f>
        <v>383888.888888889</v>
      </c>
      <c r="P13" s="6" t="n">
        <f aca="false">Inputs!K12</f>
        <v>0.55</v>
      </c>
      <c r="Q13" s="6" t="n">
        <f aca="false">Inputs!L12</f>
        <v>0.7</v>
      </c>
      <c r="R13" s="9" t="n">
        <f aca="false">L13*P13*Q13</f>
        <v>1562.034375</v>
      </c>
      <c r="S13" s="9" t="n">
        <f aca="false">L13-R13</f>
        <v>2495.19776785714</v>
      </c>
      <c r="T13" s="10" t="n">
        <f aca="false">S13/M13</f>
        <v>1.5375</v>
      </c>
      <c r="U13" s="12" t="str">
        <f aca="false">IF(T13&lt;Parameters!$B$6,"Below tolerance",IF(T13&lt;=Parameters!$B$7,"Approximately at tolerance","Above tolerance"))</f>
        <v>Above tolerance</v>
      </c>
      <c r="V13" s="10" t="n">
        <f aca="false">IF(O13=0,0,(L13-S13)/O13*1000)</f>
        <v>4.0689752170767</v>
      </c>
      <c r="W13" s="12" t="str">
        <f aca="false">IF(AND(P13&gt;=0,P13&lt;=1,Q13&gt;=0,Q13&lt;=1),"OK","CHECK")</f>
        <v>OK</v>
      </c>
    </row>
    <row r="14" customFormat="false" ht="23.85" hidden="false" customHeight="false" outlineLevel="0" collapsed="false">
      <c r="A14" s="4" t="str">
        <f aca="false">Inputs!A13</f>
        <v>S10</v>
      </c>
      <c r="B14" s="5" t="str">
        <f aca="false">Inputs!B13</f>
        <v>Manipulation of patient, medication or billing records undermining clinical decisions</v>
      </c>
      <c r="C14" s="6" t="n">
        <f aca="false">Inputs!C13</f>
        <v>0.3</v>
      </c>
      <c r="D14" s="6" t="n">
        <f aca="false">Inputs!D13</f>
        <v>0.4</v>
      </c>
      <c r="E14" s="7" t="n">
        <f aca="false">Inputs!J13</f>
        <v>8.3</v>
      </c>
      <c r="F14" s="6" t="n">
        <f aca="false">Inputs!E13</f>
        <v>0.55</v>
      </c>
      <c r="G14" s="6" t="n">
        <f aca="false">Inputs!F13</f>
        <v>0.95</v>
      </c>
      <c r="H14" s="6" t="n">
        <f aca="false">Inputs!H13</f>
        <v>0.95</v>
      </c>
      <c r="I14" s="6" t="n">
        <f aca="false">Inputs!G13</f>
        <v>0.4</v>
      </c>
      <c r="J14" s="6" t="n">
        <f aca="false">Parameters!$B$4</f>
        <v>0.3</v>
      </c>
      <c r="K14" s="8" t="n">
        <f aca="false">Parameters!$B$5</f>
        <v>1000</v>
      </c>
      <c r="L14" s="9" t="n">
        <f aca="false">C14*D14*E14*((F14+G14)/2)*H14/I14*K14</f>
        <v>1774.125</v>
      </c>
      <c r="M14" s="9" t="n">
        <f aca="false">C14*D14*E14*J14*H14/I14*K14</f>
        <v>709.65</v>
      </c>
      <c r="N14" s="10" t="n">
        <f aca="false">L14/M14</f>
        <v>2.5</v>
      </c>
      <c r="O14" s="11" t="n">
        <f aca="false">Portfolio!T17</f>
        <v>590555.555555556</v>
      </c>
      <c r="P14" s="6" t="n">
        <f aca="false">Inputs!K13</f>
        <v>0.7</v>
      </c>
      <c r="Q14" s="6" t="n">
        <f aca="false">Inputs!L13</f>
        <v>0.75</v>
      </c>
      <c r="R14" s="9" t="n">
        <f aca="false">L14*P14*Q14</f>
        <v>931.415625</v>
      </c>
      <c r="S14" s="9" t="n">
        <f aca="false">L14-R14</f>
        <v>842.709375</v>
      </c>
      <c r="T14" s="10" t="n">
        <f aca="false">S14/M14</f>
        <v>1.1875</v>
      </c>
      <c r="U14" s="12" t="str">
        <f aca="false">IF(T14&lt;Parameters!$B$6,"Below tolerance",IF(T14&lt;=Parameters!$B$7,"Approximately at tolerance","Above tolerance"))</f>
        <v>Above tolerance</v>
      </c>
      <c r="V14" s="10" t="n">
        <f aca="false">IF(O14=0,0,(L14-S14)/O14*1000)</f>
        <v>1.57718544214487</v>
      </c>
      <c r="W14" s="12" t="str">
        <f aca="false">IF(AND(P14&gt;=0,P14&lt;=1,Q14&gt;=0,Q14&lt;=1),"OK","CHECK")</f>
        <v>OK</v>
      </c>
    </row>
    <row r="15" customFormat="false" ht="15" hidden="false" customHeight="false" outlineLevel="0" collapsed="false">
      <c r="B15" s="13" t="s">
        <v>45</v>
      </c>
      <c r="L15" s="14" t="n">
        <f aca="false">SUM(L5:L14)</f>
        <v>50306.1616071429</v>
      </c>
      <c r="M15" s="14" t="n">
        <f aca="false">SUM(M5:M14)</f>
        <v>20436.553125</v>
      </c>
      <c r="O15" s="15" t="n">
        <f aca="false">SUM(O5:O14)</f>
        <v>3866000</v>
      </c>
      <c r="R15" s="14" t="n">
        <f aca="false">SUM(R5:R14)</f>
        <v>27583.7510424107</v>
      </c>
      <c r="S15" s="14" t="n">
        <f aca="false">SUM(S5:S14)</f>
        <v>22722.4105647321</v>
      </c>
      <c r="T15" s="16" t="n">
        <f aca="false">S15/M15</f>
        <v>1.11185141769019</v>
      </c>
      <c r="V15" s="16" t="n">
        <f aca="false">(L15-S15)/O15*1000</f>
        <v>7.13495888318953</v>
      </c>
    </row>
    <row r="17" customFormat="false" ht="15" hidden="false" customHeight="false" outlineLevel="0" collapsed="false">
      <c r="B17" s="2" t="s">
        <v>46</v>
      </c>
    </row>
  </sheetData>
  <conditionalFormatting sqref="T5:T1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90"/>
  </cols>
  <sheetData>
    <row r="1" customFormat="false" ht="17.35" hidden="false" customHeight="false" outlineLevel="0" collapsed="false">
      <c r="A1" s="1" t="s">
        <v>47</v>
      </c>
    </row>
    <row r="3" customFormat="false" ht="15" hidden="false" customHeight="false" outlineLevel="0" collapsed="false">
      <c r="A3" s="3" t="s">
        <v>48</v>
      </c>
      <c r="B3" s="3" t="s">
        <v>49</v>
      </c>
      <c r="C3" s="3" t="s">
        <v>50</v>
      </c>
    </row>
    <row r="4" customFormat="false" ht="15" hidden="false" customHeight="false" outlineLevel="0" collapsed="false">
      <c r="A4" s="12" t="s">
        <v>51</v>
      </c>
      <c r="B4" s="17" t="n">
        <v>0.3</v>
      </c>
      <c r="C4" s="12" t="s">
        <v>52</v>
      </c>
    </row>
    <row r="5" customFormat="false" ht="15" hidden="false" customHeight="false" outlineLevel="0" collapsed="false">
      <c r="A5" s="12" t="s">
        <v>53</v>
      </c>
      <c r="B5" s="18" t="n">
        <v>1000</v>
      </c>
      <c r="C5" s="12" t="s">
        <v>54</v>
      </c>
    </row>
    <row r="6" customFormat="false" ht="15" hidden="false" customHeight="false" outlineLevel="0" collapsed="false">
      <c r="A6" s="12" t="s">
        <v>55</v>
      </c>
      <c r="B6" s="18" t="n">
        <v>0.9</v>
      </c>
      <c r="C6" s="12" t="s">
        <v>56</v>
      </c>
    </row>
    <row r="7" customFormat="false" ht="15" hidden="false" customHeight="false" outlineLevel="0" collapsed="false">
      <c r="A7" s="12" t="s">
        <v>57</v>
      </c>
      <c r="B7" s="18" t="n">
        <v>1.1</v>
      </c>
      <c r="C7" s="12" t="s">
        <v>58</v>
      </c>
    </row>
    <row r="8" customFormat="false" ht="15" hidden="false" customHeight="false" outlineLevel="0" collapsed="false">
      <c r="A8" s="12" t="s">
        <v>59</v>
      </c>
      <c r="B8" s="18" t="n">
        <v>0.4</v>
      </c>
      <c r="C8" s="12" t="s">
        <v>60</v>
      </c>
    </row>
    <row r="9" customFormat="false" ht="15" hidden="false" customHeight="false" outlineLevel="0" collapsed="false">
      <c r="A9" s="12" t="s">
        <v>61</v>
      </c>
      <c r="B9" s="18" t="n">
        <v>0.1</v>
      </c>
      <c r="C9" s="12" t="s">
        <v>62</v>
      </c>
    </row>
    <row r="10" customFormat="false" ht="15" hidden="false" customHeight="false" outlineLevel="0" collapsed="false">
      <c r="A10" s="12" t="s">
        <v>63</v>
      </c>
      <c r="B10" s="18" t="n">
        <v>0.25</v>
      </c>
      <c r="C10" s="12" t="s">
        <v>60</v>
      </c>
    </row>
    <row r="11" customFormat="false" ht="15" hidden="false" customHeight="false" outlineLevel="0" collapsed="false">
      <c r="A11" s="12" t="s">
        <v>64</v>
      </c>
      <c r="B11" s="18" t="n">
        <v>0.4</v>
      </c>
      <c r="C11" s="12"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8"/>
    <col collapsed="false" customWidth="true" hidden="false" outlineLevel="0" max="4" min="4" style="0" width="9"/>
    <col collapsed="false" customWidth="true" hidden="false" outlineLevel="0" max="8" min="5" style="0" width="7"/>
    <col collapsed="false" customWidth="true" hidden="false" outlineLevel="0" max="9" min="9" style="0" width="62"/>
    <col collapsed="false" customWidth="true" hidden="false" outlineLevel="0" max="10" min="10" style="0" width="8"/>
    <col collapsed="false" customWidth="true" hidden="false" outlineLevel="0" max="12" min="11" style="0" width="10"/>
    <col collapsed="false" customWidth="true" hidden="false" outlineLevel="0" max="13" min="13" style="0" width="8"/>
    <col collapsed="false" customWidth="true" hidden="false" outlineLevel="0" max="14" min="14" style="0" width="9"/>
    <col collapsed="false" customWidth="true" hidden="false" outlineLevel="0" max="18" min="15" style="0" width="8"/>
  </cols>
  <sheetData>
    <row r="1" customFormat="false" ht="17.35" hidden="false" customHeight="false" outlineLevel="0" collapsed="false">
      <c r="A1" s="1" t="s">
        <v>65</v>
      </c>
    </row>
    <row r="3" customFormat="false" ht="23.85" hidden="false" customHeight="false" outlineLevel="0" collapsed="false">
      <c r="A3" s="3" t="s">
        <v>22</v>
      </c>
      <c r="B3" s="3" t="s">
        <v>23</v>
      </c>
      <c r="C3" s="3" t="s">
        <v>24</v>
      </c>
      <c r="D3" s="3" t="s">
        <v>25</v>
      </c>
      <c r="E3" s="3" t="s">
        <v>27</v>
      </c>
      <c r="F3" s="3" t="s">
        <v>28</v>
      </c>
      <c r="G3" s="3" t="s">
        <v>30</v>
      </c>
      <c r="H3" s="3" t="s">
        <v>29</v>
      </c>
      <c r="I3" s="3" t="s">
        <v>66</v>
      </c>
      <c r="J3" s="3" t="s">
        <v>26</v>
      </c>
      <c r="K3" s="3" t="s">
        <v>37</v>
      </c>
      <c r="L3" s="3" t="s">
        <v>38</v>
      </c>
      <c r="M3" s="3" t="s">
        <v>67</v>
      </c>
      <c r="N3" s="3" t="s">
        <v>68</v>
      </c>
      <c r="O3" s="3" t="s">
        <v>69</v>
      </c>
      <c r="P3" s="3" t="s">
        <v>70</v>
      </c>
      <c r="Q3" s="3" t="s">
        <v>71</v>
      </c>
      <c r="R3" s="3" t="s">
        <v>72</v>
      </c>
    </row>
    <row r="4" customFormat="false" ht="23.85" hidden="false" customHeight="false" outlineLevel="0" collapsed="false">
      <c r="A4" s="12" t="s">
        <v>73</v>
      </c>
      <c r="B4" s="19" t="s">
        <v>74</v>
      </c>
      <c r="C4" s="20" t="n">
        <v>0.85</v>
      </c>
      <c r="D4" s="20" t="n">
        <v>0.55</v>
      </c>
      <c r="E4" s="20" t="n">
        <v>0.55</v>
      </c>
      <c r="F4" s="20" t="n">
        <v>0.85</v>
      </c>
      <c r="G4" s="20" t="n">
        <v>0.4</v>
      </c>
      <c r="H4" s="20" t="n">
        <v>0.85</v>
      </c>
      <c r="I4" s="18" t="s">
        <v>75</v>
      </c>
      <c r="J4" s="21" t="n">
        <v>9.3</v>
      </c>
      <c r="K4" s="20" t="n">
        <v>0.8</v>
      </c>
      <c r="L4" s="20" t="n">
        <v>0.75</v>
      </c>
      <c r="M4" s="18" t="s">
        <v>76</v>
      </c>
      <c r="N4" s="18" t="s">
        <v>77</v>
      </c>
      <c r="O4" s="18" t="s">
        <v>76</v>
      </c>
      <c r="P4" s="18" t="s">
        <v>76</v>
      </c>
      <c r="Q4" s="18" t="s">
        <v>76</v>
      </c>
      <c r="R4" s="18" t="s">
        <v>78</v>
      </c>
    </row>
    <row r="5" customFormat="false" ht="23.85" hidden="false" customHeight="false" outlineLevel="0" collapsed="false">
      <c r="A5" s="12" t="s">
        <v>79</v>
      </c>
      <c r="B5" s="19" t="s">
        <v>80</v>
      </c>
      <c r="C5" s="20" t="n">
        <v>0.75</v>
      </c>
      <c r="D5" s="20" t="n">
        <v>0.5</v>
      </c>
      <c r="E5" s="20" t="n">
        <v>0.7</v>
      </c>
      <c r="F5" s="20" t="n">
        <v>0.95</v>
      </c>
      <c r="G5" s="20" t="n">
        <v>0.35</v>
      </c>
      <c r="H5" s="20" t="n">
        <v>0.95</v>
      </c>
      <c r="I5" s="18" t="s">
        <v>81</v>
      </c>
      <c r="J5" s="21" t="n">
        <v>9.3</v>
      </c>
      <c r="K5" s="20" t="n">
        <v>0.75</v>
      </c>
      <c r="L5" s="20" t="n">
        <v>0.75</v>
      </c>
      <c r="M5" s="18" t="s">
        <v>76</v>
      </c>
      <c r="N5" s="18" t="s">
        <v>77</v>
      </c>
      <c r="O5" s="18" t="s">
        <v>76</v>
      </c>
      <c r="P5" s="18" t="s">
        <v>76</v>
      </c>
      <c r="Q5" s="18" t="s">
        <v>76</v>
      </c>
      <c r="R5" s="18" t="s">
        <v>78</v>
      </c>
    </row>
    <row r="6" customFormat="false" ht="23.85" hidden="false" customHeight="false" outlineLevel="0" collapsed="false">
      <c r="A6" s="12" t="s">
        <v>82</v>
      </c>
      <c r="B6" s="19" t="s">
        <v>83</v>
      </c>
      <c r="C6" s="20" t="n">
        <v>0.55</v>
      </c>
      <c r="D6" s="20" t="n">
        <v>0.5</v>
      </c>
      <c r="E6" s="20" t="n">
        <v>0.6</v>
      </c>
      <c r="F6" s="20" t="n">
        <v>0.9</v>
      </c>
      <c r="G6" s="20" t="n">
        <v>0.35</v>
      </c>
      <c r="H6" s="20" t="n">
        <v>0.9</v>
      </c>
      <c r="I6" s="18" t="s">
        <v>84</v>
      </c>
      <c r="J6" s="21" t="n">
        <v>9.2</v>
      </c>
      <c r="K6" s="20" t="n">
        <v>0.8</v>
      </c>
      <c r="L6" s="20" t="n">
        <v>0.85</v>
      </c>
      <c r="M6" s="18" t="s">
        <v>76</v>
      </c>
      <c r="N6" s="18" t="s">
        <v>77</v>
      </c>
      <c r="O6" s="18" t="s">
        <v>76</v>
      </c>
      <c r="P6" s="18" t="s">
        <v>76</v>
      </c>
      <c r="Q6" s="18" t="s">
        <v>76</v>
      </c>
      <c r="R6" s="18" t="s">
        <v>78</v>
      </c>
    </row>
    <row r="7" customFormat="false" ht="23.85" hidden="false" customHeight="false" outlineLevel="0" collapsed="false">
      <c r="A7" s="12" t="s">
        <v>85</v>
      </c>
      <c r="B7" s="19" t="s">
        <v>86</v>
      </c>
      <c r="C7" s="20" t="n">
        <v>0.6</v>
      </c>
      <c r="D7" s="20" t="n">
        <v>0.45</v>
      </c>
      <c r="E7" s="20" t="n">
        <v>0.55</v>
      </c>
      <c r="F7" s="20" t="n">
        <v>0.8</v>
      </c>
      <c r="G7" s="20" t="n">
        <v>0.4</v>
      </c>
      <c r="H7" s="20" t="n">
        <v>0.75</v>
      </c>
      <c r="I7" s="18" t="s">
        <v>87</v>
      </c>
      <c r="J7" s="21" t="n">
        <v>8.7</v>
      </c>
      <c r="K7" s="20" t="n">
        <v>0.85</v>
      </c>
      <c r="L7" s="20" t="n">
        <v>0.7</v>
      </c>
      <c r="M7" s="18" t="s">
        <v>76</v>
      </c>
      <c r="N7" s="18" t="s">
        <v>77</v>
      </c>
      <c r="O7" s="18" t="s">
        <v>76</v>
      </c>
      <c r="P7" s="18" t="s">
        <v>76</v>
      </c>
      <c r="Q7" s="18" t="s">
        <v>77</v>
      </c>
      <c r="R7" s="18" t="s">
        <v>76</v>
      </c>
    </row>
    <row r="8" customFormat="false" ht="23.85" hidden="false" customHeight="false" outlineLevel="0" collapsed="false">
      <c r="A8" s="12" t="s">
        <v>88</v>
      </c>
      <c r="B8" s="19" t="s">
        <v>89</v>
      </c>
      <c r="C8" s="20" t="n">
        <v>0.6</v>
      </c>
      <c r="D8" s="20" t="n">
        <v>0.55</v>
      </c>
      <c r="E8" s="20" t="n">
        <v>0.45</v>
      </c>
      <c r="F8" s="20" t="n">
        <v>0.75</v>
      </c>
      <c r="G8" s="20" t="n">
        <v>0.4</v>
      </c>
      <c r="H8" s="20" t="n">
        <v>0.8</v>
      </c>
      <c r="I8" s="18" t="s">
        <v>90</v>
      </c>
      <c r="J8" s="21" t="n">
        <v>7.1</v>
      </c>
      <c r="K8" s="20" t="n">
        <v>0.6</v>
      </c>
      <c r="L8" s="20" t="n">
        <v>0.65</v>
      </c>
      <c r="M8" s="18" t="s">
        <v>76</v>
      </c>
      <c r="N8" s="18" t="s">
        <v>76</v>
      </c>
      <c r="O8" s="18" t="s">
        <v>76</v>
      </c>
      <c r="P8" s="18" t="s">
        <v>76</v>
      </c>
      <c r="Q8" s="18" t="s">
        <v>76</v>
      </c>
      <c r="R8" s="18" t="s">
        <v>78</v>
      </c>
    </row>
    <row r="9" customFormat="false" ht="15" hidden="false" customHeight="false" outlineLevel="0" collapsed="false">
      <c r="A9" s="12" t="s">
        <v>91</v>
      </c>
      <c r="B9" s="19" t="s">
        <v>92</v>
      </c>
      <c r="C9" s="20" t="n">
        <v>0.8</v>
      </c>
      <c r="D9" s="20" t="n">
        <v>0.5</v>
      </c>
      <c r="E9" s="20" t="n">
        <v>0.6</v>
      </c>
      <c r="F9" s="20" t="n">
        <v>0.9</v>
      </c>
      <c r="G9" s="20" t="n">
        <v>0.4</v>
      </c>
      <c r="H9" s="20" t="n">
        <v>0.85</v>
      </c>
      <c r="I9" s="18" t="s">
        <v>93</v>
      </c>
      <c r="J9" s="21" t="n">
        <v>10</v>
      </c>
      <c r="K9" s="20" t="n">
        <v>0.85</v>
      </c>
      <c r="L9" s="20" t="n">
        <v>0.7</v>
      </c>
      <c r="M9" s="18" t="s">
        <v>76</v>
      </c>
      <c r="N9" s="18" t="s">
        <v>77</v>
      </c>
      <c r="O9" s="18" t="s">
        <v>76</v>
      </c>
      <c r="P9" s="18" t="s">
        <v>76</v>
      </c>
      <c r="Q9" s="18" t="s">
        <v>76</v>
      </c>
      <c r="R9" s="18" t="s">
        <v>78</v>
      </c>
    </row>
    <row r="10" customFormat="false" ht="23.85" hidden="false" customHeight="false" outlineLevel="0" collapsed="false">
      <c r="A10" s="12" t="s">
        <v>94</v>
      </c>
      <c r="B10" s="19" t="s">
        <v>95</v>
      </c>
      <c r="C10" s="20" t="n">
        <v>0.45</v>
      </c>
      <c r="D10" s="20" t="n">
        <v>0.5</v>
      </c>
      <c r="E10" s="20" t="n">
        <v>0.55</v>
      </c>
      <c r="F10" s="20" t="n">
        <v>0.95</v>
      </c>
      <c r="G10" s="20" t="n">
        <v>0.35</v>
      </c>
      <c r="H10" s="20" t="n">
        <v>0.9</v>
      </c>
      <c r="I10" s="18" t="s">
        <v>96</v>
      </c>
      <c r="J10" s="21" t="n">
        <v>8.7</v>
      </c>
      <c r="K10" s="20" t="n">
        <v>0.7</v>
      </c>
      <c r="L10" s="20" t="n">
        <v>0.6</v>
      </c>
      <c r="M10" s="18" t="s">
        <v>77</v>
      </c>
      <c r="N10" s="18" t="s">
        <v>77</v>
      </c>
      <c r="O10" s="18" t="s">
        <v>76</v>
      </c>
      <c r="P10" s="18" t="s">
        <v>76</v>
      </c>
      <c r="Q10" s="18" t="s">
        <v>76</v>
      </c>
      <c r="R10" s="18" t="s">
        <v>78</v>
      </c>
    </row>
    <row r="11" customFormat="false" ht="15" hidden="false" customHeight="false" outlineLevel="0" collapsed="false">
      <c r="A11" s="12" t="s">
        <v>97</v>
      </c>
      <c r="B11" s="19" t="s">
        <v>98</v>
      </c>
      <c r="C11" s="20" t="n">
        <v>0.8</v>
      </c>
      <c r="D11" s="20" t="n">
        <v>0.6</v>
      </c>
      <c r="E11" s="20" t="n">
        <v>0.6</v>
      </c>
      <c r="F11" s="20" t="n">
        <v>0.9</v>
      </c>
      <c r="G11" s="20" t="n">
        <v>0.3</v>
      </c>
      <c r="H11" s="20" t="n">
        <v>0.85</v>
      </c>
      <c r="I11" s="18" t="s">
        <v>99</v>
      </c>
      <c r="J11" s="21" t="n">
        <v>9.2</v>
      </c>
      <c r="K11" s="20" t="n">
        <v>0.7</v>
      </c>
      <c r="L11" s="20" t="n">
        <v>0.8</v>
      </c>
      <c r="M11" s="18" t="s">
        <v>76</v>
      </c>
      <c r="N11" s="18" t="s">
        <v>76</v>
      </c>
      <c r="O11" s="18" t="s">
        <v>76</v>
      </c>
      <c r="P11" s="18" t="s">
        <v>76</v>
      </c>
      <c r="Q11" s="18" t="s">
        <v>76</v>
      </c>
      <c r="R11" s="18" t="s">
        <v>78</v>
      </c>
    </row>
    <row r="12" customFormat="false" ht="15" hidden="false" customHeight="false" outlineLevel="0" collapsed="false">
      <c r="A12" s="12" t="s">
        <v>100</v>
      </c>
      <c r="B12" s="19" t="s">
        <v>101</v>
      </c>
      <c r="C12" s="20" t="n">
        <v>0.55</v>
      </c>
      <c r="D12" s="20" t="n">
        <v>0.45</v>
      </c>
      <c r="E12" s="20" t="n">
        <v>0.6</v>
      </c>
      <c r="F12" s="20" t="n">
        <v>0.9</v>
      </c>
      <c r="G12" s="20" t="n">
        <v>0.35</v>
      </c>
      <c r="H12" s="20" t="n">
        <v>0.85</v>
      </c>
      <c r="I12" s="18" t="s">
        <v>102</v>
      </c>
      <c r="J12" s="21" t="n">
        <v>9</v>
      </c>
      <c r="K12" s="20" t="n">
        <v>0.55</v>
      </c>
      <c r="L12" s="20" t="n">
        <v>0.7</v>
      </c>
      <c r="M12" s="18" t="s">
        <v>77</v>
      </c>
      <c r="N12" s="18" t="s">
        <v>77</v>
      </c>
      <c r="O12" s="18" t="s">
        <v>76</v>
      </c>
      <c r="P12" s="18" t="s">
        <v>76</v>
      </c>
      <c r="Q12" s="18" t="s">
        <v>77</v>
      </c>
      <c r="R12" s="18" t="s">
        <v>78</v>
      </c>
    </row>
    <row r="13" customFormat="false" ht="23.85" hidden="false" customHeight="false" outlineLevel="0" collapsed="false">
      <c r="A13" s="12" t="s">
        <v>103</v>
      </c>
      <c r="B13" s="19" t="s">
        <v>104</v>
      </c>
      <c r="C13" s="20" t="n">
        <v>0.3</v>
      </c>
      <c r="D13" s="20" t="n">
        <v>0.4</v>
      </c>
      <c r="E13" s="20" t="n">
        <v>0.55</v>
      </c>
      <c r="F13" s="20" t="n">
        <v>0.95</v>
      </c>
      <c r="G13" s="20" t="n">
        <v>0.4</v>
      </c>
      <c r="H13" s="20" t="n">
        <v>0.95</v>
      </c>
      <c r="I13" s="18" t="s">
        <v>105</v>
      </c>
      <c r="J13" s="21" t="n">
        <v>8.3</v>
      </c>
      <c r="K13" s="20" t="n">
        <v>0.7</v>
      </c>
      <c r="L13" s="20" t="n">
        <v>0.75</v>
      </c>
      <c r="M13" s="18" t="s">
        <v>77</v>
      </c>
      <c r="N13" s="18" t="s">
        <v>77</v>
      </c>
      <c r="O13" s="18" t="s">
        <v>76</v>
      </c>
      <c r="P13" s="18" t="s">
        <v>76</v>
      </c>
      <c r="Q13" s="18" t="s">
        <v>77</v>
      </c>
      <c r="R13" s="18"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26"/>
    <col collapsed="false" customWidth="true" hidden="false" outlineLevel="0" max="4" min="4" style="0" width="11"/>
    <col collapsed="false" customWidth="true" hidden="false" outlineLevel="0" max="5" min="5" style="0" width="16"/>
    <col collapsed="false" customWidth="true" hidden="false" outlineLevel="0" max="8" min="6" style="0" width="12"/>
    <col collapsed="false" customWidth="true" hidden="false" outlineLevel="0" max="9" min="9" style="0" width="9"/>
    <col collapsed="false" customWidth="true" hidden="false" outlineLevel="0" max="10" min="10" style="0" width="12"/>
    <col collapsed="false" customWidth="true" hidden="false" outlineLevel="0" max="20" min="11" style="0" width="5"/>
    <col collapsed="false" customWidth="true" hidden="false" outlineLevel="0" max="22" min="21" style="0" width="9"/>
    <col collapsed="false" customWidth="true" hidden="false" outlineLevel="0" max="23" min="23" style="0" width="50"/>
  </cols>
  <sheetData>
    <row r="1" customFormat="false" ht="17.35" hidden="false" customHeight="false" outlineLevel="0" collapsed="false">
      <c r="A1" s="1" t="s">
        <v>106</v>
      </c>
    </row>
    <row r="3" customFormat="false" ht="23.85" hidden="false" customHeight="false" outlineLevel="0" collapsed="false">
      <c r="A3" s="3" t="s">
        <v>22</v>
      </c>
      <c r="B3" s="3" t="s">
        <v>107</v>
      </c>
      <c r="C3" s="3" t="s">
        <v>108</v>
      </c>
      <c r="D3" s="3" t="s">
        <v>109</v>
      </c>
      <c r="E3" s="3" t="s">
        <v>110</v>
      </c>
      <c r="F3" s="3" t="s">
        <v>111</v>
      </c>
      <c r="G3" s="3" t="s">
        <v>112</v>
      </c>
      <c r="H3" s="3" t="s">
        <v>113</v>
      </c>
      <c r="I3" s="3" t="s">
        <v>114</v>
      </c>
      <c r="J3" s="3" t="s">
        <v>115</v>
      </c>
      <c r="K3" s="3" t="s">
        <v>73</v>
      </c>
      <c r="L3" s="3" t="s">
        <v>79</v>
      </c>
      <c r="M3" s="3" t="s">
        <v>82</v>
      </c>
      <c r="N3" s="3" t="s">
        <v>85</v>
      </c>
      <c r="O3" s="3" t="s">
        <v>88</v>
      </c>
      <c r="P3" s="3" t="s">
        <v>91</v>
      </c>
      <c r="Q3" s="3" t="s">
        <v>94</v>
      </c>
      <c r="R3" s="3" t="s">
        <v>97</v>
      </c>
      <c r="S3" s="3" t="s">
        <v>100</v>
      </c>
      <c r="T3" s="3" t="s">
        <v>103</v>
      </c>
      <c r="U3" s="3" t="s">
        <v>116</v>
      </c>
      <c r="V3" s="3" t="s">
        <v>117</v>
      </c>
      <c r="W3" s="3" t="s">
        <v>118</v>
      </c>
    </row>
    <row r="4" customFormat="false" ht="23.85" hidden="false" customHeight="false" outlineLevel="0" collapsed="false">
      <c r="A4" s="12" t="s">
        <v>119</v>
      </c>
      <c r="B4" s="19" t="s">
        <v>120</v>
      </c>
      <c r="C4" s="19" t="s">
        <v>121</v>
      </c>
      <c r="D4" s="12" t="s">
        <v>122</v>
      </c>
      <c r="E4" s="19" t="s">
        <v>123</v>
      </c>
      <c r="F4" s="22" t="n">
        <v>180000</v>
      </c>
      <c r="G4" s="22" t="n">
        <v>60000</v>
      </c>
      <c r="H4" s="23" t="n">
        <f aca="false">F4+G4</f>
        <v>240000</v>
      </c>
      <c r="I4" s="24" t="n">
        <f aca="false">SUM(K4:T4)</f>
        <v>4</v>
      </c>
      <c r="J4" s="23" t="n">
        <f aca="false">IF(I4=0,0,H4/I4)</f>
        <v>60000</v>
      </c>
      <c r="K4" s="25" t="n">
        <v>1</v>
      </c>
      <c r="L4" s="25" t="n">
        <v>0</v>
      </c>
      <c r="M4" s="25" t="n">
        <v>0</v>
      </c>
      <c r="N4" s="25" t="n">
        <v>0</v>
      </c>
      <c r="O4" s="25" t="n">
        <v>0</v>
      </c>
      <c r="P4" s="25" t="n">
        <v>0</v>
      </c>
      <c r="Q4" s="25" t="n">
        <v>0</v>
      </c>
      <c r="R4" s="25" t="n">
        <v>1</v>
      </c>
      <c r="S4" s="25" t="n">
        <v>1</v>
      </c>
      <c r="T4" s="25" t="n">
        <v>1</v>
      </c>
      <c r="U4" s="12" t="s">
        <v>124</v>
      </c>
      <c r="V4" s="12" t="s">
        <v>125</v>
      </c>
      <c r="W4" s="19" t="s">
        <v>126</v>
      </c>
    </row>
    <row r="5" customFormat="false" ht="23.85" hidden="false" customHeight="false" outlineLevel="0" collapsed="false">
      <c r="A5" s="12" t="s">
        <v>127</v>
      </c>
      <c r="B5" s="19" t="s">
        <v>128</v>
      </c>
      <c r="C5" s="19" t="s">
        <v>129</v>
      </c>
      <c r="D5" s="12" t="s">
        <v>130</v>
      </c>
      <c r="E5" s="19" t="s">
        <v>131</v>
      </c>
      <c r="F5" s="22" t="n">
        <v>250000</v>
      </c>
      <c r="G5" s="22" t="n">
        <v>80000</v>
      </c>
      <c r="H5" s="23" t="n">
        <f aca="false">F5+G5</f>
        <v>330000</v>
      </c>
      <c r="I5" s="24" t="n">
        <f aca="false">SUM(K5:T5)</f>
        <v>6</v>
      </c>
      <c r="J5" s="23" t="n">
        <f aca="false">IF(I5=0,0,H5/I5)</f>
        <v>55000</v>
      </c>
      <c r="K5" s="25" t="n">
        <v>1</v>
      </c>
      <c r="L5" s="25" t="n">
        <v>1</v>
      </c>
      <c r="M5" s="25" t="n">
        <v>1</v>
      </c>
      <c r="N5" s="25" t="n">
        <v>0</v>
      </c>
      <c r="O5" s="25" t="n">
        <v>1</v>
      </c>
      <c r="P5" s="25" t="n">
        <v>0</v>
      </c>
      <c r="Q5" s="25" t="n">
        <v>0</v>
      </c>
      <c r="R5" s="25" t="n">
        <v>0</v>
      </c>
      <c r="S5" s="25" t="n">
        <v>1</v>
      </c>
      <c r="T5" s="25" t="n">
        <v>1</v>
      </c>
      <c r="U5" s="12" t="s">
        <v>132</v>
      </c>
      <c r="V5" s="12" t="s">
        <v>133</v>
      </c>
      <c r="W5" s="19" t="s">
        <v>134</v>
      </c>
    </row>
    <row r="6" customFormat="false" ht="23.85" hidden="false" customHeight="false" outlineLevel="0" collapsed="false">
      <c r="A6" s="12" t="s">
        <v>135</v>
      </c>
      <c r="B6" s="19" t="s">
        <v>136</v>
      </c>
      <c r="C6" s="19" t="s">
        <v>129</v>
      </c>
      <c r="D6" s="12" t="s">
        <v>122</v>
      </c>
      <c r="E6" s="19" t="s">
        <v>137</v>
      </c>
      <c r="F6" s="22" t="n">
        <v>200000</v>
      </c>
      <c r="G6" s="22" t="n">
        <v>420000</v>
      </c>
      <c r="H6" s="23" t="n">
        <f aca="false">F6+G6</f>
        <v>620000</v>
      </c>
      <c r="I6" s="24" t="n">
        <f aca="false">SUM(K6:T6)</f>
        <v>9</v>
      </c>
      <c r="J6" s="23" t="n">
        <f aca="false">IF(I6=0,0,H6/I6)</f>
        <v>68888.8888888889</v>
      </c>
      <c r="K6" s="25" t="n">
        <v>1</v>
      </c>
      <c r="L6" s="25" t="n">
        <v>1</v>
      </c>
      <c r="M6" s="25" t="n">
        <v>1</v>
      </c>
      <c r="N6" s="25" t="n">
        <v>1</v>
      </c>
      <c r="O6" s="25" t="n">
        <v>1</v>
      </c>
      <c r="P6" s="25" t="n">
        <v>1</v>
      </c>
      <c r="Q6" s="25" t="n">
        <v>0</v>
      </c>
      <c r="R6" s="25" t="n">
        <v>1</v>
      </c>
      <c r="S6" s="25" t="n">
        <v>1</v>
      </c>
      <c r="T6" s="25" t="n">
        <v>1</v>
      </c>
      <c r="U6" s="12" t="s">
        <v>124</v>
      </c>
      <c r="V6" s="12" t="s">
        <v>125</v>
      </c>
      <c r="W6" s="19" t="s">
        <v>138</v>
      </c>
    </row>
    <row r="7" customFormat="false" ht="23.85" hidden="false" customHeight="false" outlineLevel="0" collapsed="false">
      <c r="A7" s="12" t="s">
        <v>139</v>
      </c>
      <c r="B7" s="19" t="s">
        <v>140</v>
      </c>
      <c r="C7" s="19" t="s">
        <v>141</v>
      </c>
      <c r="D7" s="12" t="s">
        <v>122</v>
      </c>
      <c r="E7" s="19" t="s">
        <v>142</v>
      </c>
      <c r="F7" s="22" t="n">
        <v>300000</v>
      </c>
      <c r="G7" s="22" t="n">
        <v>90000</v>
      </c>
      <c r="H7" s="23" t="n">
        <f aca="false">F7+G7</f>
        <v>390000</v>
      </c>
      <c r="I7" s="24" t="n">
        <f aca="false">SUM(K7:T7)</f>
        <v>3</v>
      </c>
      <c r="J7" s="23" t="n">
        <f aca="false">IF(I7=0,0,H7/I7)</f>
        <v>130000</v>
      </c>
      <c r="K7" s="25" t="n">
        <v>0</v>
      </c>
      <c r="L7" s="25" t="n">
        <v>1</v>
      </c>
      <c r="M7" s="25" t="n">
        <v>1</v>
      </c>
      <c r="N7" s="25" t="n">
        <v>0</v>
      </c>
      <c r="O7" s="25" t="n">
        <v>0</v>
      </c>
      <c r="P7" s="25" t="n">
        <v>0</v>
      </c>
      <c r="Q7" s="25" t="n">
        <v>0</v>
      </c>
      <c r="R7" s="25" t="n">
        <v>0</v>
      </c>
      <c r="S7" s="25" t="n">
        <v>0</v>
      </c>
      <c r="T7" s="25" t="n">
        <v>1</v>
      </c>
      <c r="U7" s="12" t="s">
        <v>124</v>
      </c>
      <c r="V7" s="12" t="s">
        <v>143</v>
      </c>
      <c r="W7" s="19" t="s">
        <v>144</v>
      </c>
    </row>
    <row r="8" customFormat="false" ht="23.85" hidden="false" customHeight="false" outlineLevel="0" collapsed="false">
      <c r="A8" s="12" t="s">
        <v>145</v>
      </c>
      <c r="B8" s="19" t="s">
        <v>146</v>
      </c>
      <c r="C8" s="19" t="s">
        <v>121</v>
      </c>
      <c r="D8" s="12" t="s">
        <v>130</v>
      </c>
      <c r="E8" s="19" t="s">
        <v>123</v>
      </c>
      <c r="F8" s="22" t="n">
        <v>150000</v>
      </c>
      <c r="G8" s="22" t="n">
        <v>216000</v>
      </c>
      <c r="H8" s="23" t="n">
        <f aca="false">F8+G8</f>
        <v>366000</v>
      </c>
      <c r="I8" s="24" t="n">
        <f aca="false">SUM(K8:T8)</f>
        <v>3</v>
      </c>
      <c r="J8" s="23" t="n">
        <f aca="false">IF(I8=0,0,H8/I8)</f>
        <v>122000</v>
      </c>
      <c r="K8" s="25" t="n">
        <v>0</v>
      </c>
      <c r="L8" s="25" t="n">
        <v>1</v>
      </c>
      <c r="M8" s="25" t="n">
        <v>0</v>
      </c>
      <c r="N8" s="25" t="n">
        <v>0</v>
      </c>
      <c r="O8" s="25" t="n">
        <v>0</v>
      </c>
      <c r="P8" s="25" t="n">
        <v>1</v>
      </c>
      <c r="Q8" s="25" t="n">
        <v>1</v>
      </c>
      <c r="R8" s="25" t="n">
        <v>0</v>
      </c>
      <c r="S8" s="25" t="n">
        <v>0</v>
      </c>
      <c r="T8" s="25" t="n">
        <v>0</v>
      </c>
      <c r="U8" s="12" t="s">
        <v>147</v>
      </c>
      <c r="V8" s="12" t="s">
        <v>143</v>
      </c>
      <c r="W8" s="19" t="s">
        <v>148</v>
      </c>
    </row>
    <row r="9" customFormat="false" ht="23.85" hidden="false" customHeight="false" outlineLevel="0" collapsed="false">
      <c r="A9" s="12" t="s">
        <v>149</v>
      </c>
      <c r="B9" s="19" t="s">
        <v>150</v>
      </c>
      <c r="C9" s="19" t="s">
        <v>141</v>
      </c>
      <c r="D9" s="12" t="s">
        <v>151</v>
      </c>
      <c r="E9" s="19" t="s">
        <v>152</v>
      </c>
      <c r="F9" s="22" t="n">
        <v>450000</v>
      </c>
      <c r="G9" s="22" t="n">
        <v>70000</v>
      </c>
      <c r="H9" s="23" t="n">
        <f aca="false">F9+G9</f>
        <v>520000</v>
      </c>
      <c r="I9" s="24" t="n">
        <f aca="false">SUM(K9:T9)</f>
        <v>4</v>
      </c>
      <c r="J9" s="23" t="n">
        <f aca="false">IF(I9=0,0,H9/I9)</f>
        <v>130000</v>
      </c>
      <c r="K9" s="25" t="n">
        <v>0</v>
      </c>
      <c r="L9" s="25" t="n">
        <v>1</v>
      </c>
      <c r="M9" s="25" t="n">
        <v>1</v>
      </c>
      <c r="N9" s="25" t="n">
        <v>0</v>
      </c>
      <c r="O9" s="25" t="n">
        <v>0</v>
      </c>
      <c r="P9" s="25" t="n">
        <v>1</v>
      </c>
      <c r="Q9" s="25" t="n">
        <v>1</v>
      </c>
      <c r="R9" s="25" t="n">
        <v>0</v>
      </c>
      <c r="S9" s="25" t="n">
        <v>0</v>
      </c>
      <c r="T9" s="25" t="n">
        <v>0</v>
      </c>
      <c r="U9" s="12" t="s">
        <v>125</v>
      </c>
      <c r="V9" s="12" t="s">
        <v>153</v>
      </c>
      <c r="W9" s="19" t="s">
        <v>154</v>
      </c>
    </row>
    <row r="10" customFormat="false" ht="23.85" hidden="false" customHeight="false" outlineLevel="0" collapsed="false">
      <c r="A10" s="12" t="s">
        <v>155</v>
      </c>
      <c r="B10" s="19" t="s">
        <v>156</v>
      </c>
      <c r="C10" s="19" t="s">
        <v>157</v>
      </c>
      <c r="D10" s="12" t="s">
        <v>130</v>
      </c>
      <c r="E10" s="19" t="s">
        <v>158</v>
      </c>
      <c r="F10" s="22" t="n">
        <v>180000</v>
      </c>
      <c r="G10" s="22" t="n">
        <v>90000</v>
      </c>
      <c r="H10" s="23" t="n">
        <f aca="false">F10+G10</f>
        <v>270000</v>
      </c>
      <c r="I10" s="24" t="n">
        <f aca="false">SUM(K10:T10)</f>
        <v>1</v>
      </c>
      <c r="J10" s="23" t="n">
        <f aca="false">IF(I10=0,0,H10/I10)</f>
        <v>270000</v>
      </c>
      <c r="K10" s="25" t="n">
        <v>0</v>
      </c>
      <c r="L10" s="25" t="n">
        <v>0</v>
      </c>
      <c r="M10" s="25" t="n">
        <v>0</v>
      </c>
      <c r="N10" s="25" t="n">
        <v>0</v>
      </c>
      <c r="O10" s="25" t="n">
        <v>0</v>
      </c>
      <c r="P10" s="25" t="n">
        <v>0</v>
      </c>
      <c r="Q10" s="25" t="n">
        <v>1</v>
      </c>
      <c r="R10" s="25" t="n">
        <v>0</v>
      </c>
      <c r="S10" s="25" t="n">
        <v>0</v>
      </c>
      <c r="T10" s="25" t="n">
        <v>0</v>
      </c>
      <c r="U10" s="12" t="s">
        <v>159</v>
      </c>
      <c r="V10" s="12" t="s">
        <v>133</v>
      </c>
      <c r="W10" s="19" t="s">
        <v>160</v>
      </c>
    </row>
    <row r="11" customFormat="false" ht="23.85" hidden="false" customHeight="false" outlineLevel="0" collapsed="false">
      <c r="A11" s="12" t="s">
        <v>161</v>
      </c>
      <c r="B11" s="19" t="s">
        <v>162</v>
      </c>
      <c r="C11" s="19" t="s">
        <v>163</v>
      </c>
      <c r="D11" s="12" t="s">
        <v>122</v>
      </c>
      <c r="E11" s="19" t="s">
        <v>164</v>
      </c>
      <c r="F11" s="22" t="n">
        <v>120000</v>
      </c>
      <c r="G11" s="22" t="n">
        <v>60000</v>
      </c>
      <c r="H11" s="23" t="n">
        <f aca="false">F11+G11</f>
        <v>180000</v>
      </c>
      <c r="I11" s="24" t="n">
        <f aca="false">SUM(K11:T11)</f>
        <v>1</v>
      </c>
      <c r="J11" s="23" t="n">
        <f aca="false">IF(I11=0,0,H11/I11)</f>
        <v>180000</v>
      </c>
      <c r="K11" s="25" t="n">
        <v>0</v>
      </c>
      <c r="L11" s="25" t="n">
        <v>0</v>
      </c>
      <c r="M11" s="25" t="n">
        <v>0</v>
      </c>
      <c r="N11" s="25" t="n">
        <v>1</v>
      </c>
      <c r="O11" s="25" t="n">
        <v>0</v>
      </c>
      <c r="P11" s="25" t="n">
        <v>0</v>
      </c>
      <c r="Q11" s="25" t="n">
        <v>0</v>
      </c>
      <c r="R11" s="25" t="n">
        <v>0</v>
      </c>
      <c r="S11" s="25" t="n">
        <v>0</v>
      </c>
      <c r="T11" s="25" t="n">
        <v>0</v>
      </c>
      <c r="U11" s="12" t="s">
        <v>124</v>
      </c>
      <c r="V11" s="12" t="s">
        <v>125</v>
      </c>
      <c r="W11" s="19" t="s">
        <v>165</v>
      </c>
    </row>
    <row r="12" customFormat="false" ht="23.85" hidden="false" customHeight="false" outlineLevel="0" collapsed="false">
      <c r="A12" s="12" t="s">
        <v>166</v>
      </c>
      <c r="B12" s="19" t="s">
        <v>167</v>
      </c>
      <c r="C12" s="19" t="s">
        <v>168</v>
      </c>
      <c r="D12" s="12" t="s">
        <v>130</v>
      </c>
      <c r="E12" s="19" t="s">
        <v>169</v>
      </c>
      <c r="F12" s="22" t="n">
        <v>200000</v>
      </c>
      <c r="G12" s="22" t="n">
        <v>90000</v>
      </c>
      <c r="H12" s="23" t="n">
        <f aca="false">F12+G12</f>
        <v>290000</v>
      </c>
      <c r="I12" s="24" t="n">
        <f aca="false">SUM(K12:T12)</f>
        <v>3</v>
      </c>
      <c r="J12" s="23" t="n">
        <f aca="false">IF(I12=0,0,H12/I12)</f>
        <v>96666.6666666667</v>
      </c>
      <c r="K12" s="25" t="n">
        <v>0</v>
      </c>
      <c r="L12" s="25" t="n">
        <v>0</v>
      </c>
      <c r="M12" s="25" t="n">
        <v>0</v>
      </c>
      <c r="N12" s="25" t="n">
        <v>1</v>
      </c>
      <c r="O12" s="25" t="n">
        <v>1</v>
      </c>
      <c r="P12" s="25" t="n">
        <v>0</v>
      </c>
      <c r="Q12" s="25" t="n">
        <v>0</v>
      </c>
      <c r="R12" s="25" t="n">
        <v>0</v>
      </c>
      <c r="S12" s="25" t="n">
        <v>0</v>
      </c>
      <c r="T12" s="25" t="n">
        <v>1</v>
      </c>
      <c r="U12" s="12" t="s">
        <v>159</v>
      </c>
      <c r="V12" s="12" t="s">
        <v>133</v>
      </c>
      <c r="W12" s="19" t="s">
        <v>170</v>
      </c>
    </row>
    <row r="13" customFormat="false" ht="23.85" hidden="false" customHeight="false" outlineLevel="0" collapsed="false">
      <c r="A13" s="12" t="s">
        <v>171</v>
      </c>
      <c r="B13" s="19" t="s">
        <v>172</v>
      </c>
      <c r="C13" s="19" t="s">
        <v>173</v>
      </c>
      <c r="D13" s="12" t="s">
        <v>130</v>
      </c>
      <c r="E13" s="19" t="s">
        <v>174</v>
      </c>
      <c r="F13" s="22" t="n">
        <v>90000</v>
      </c>
      <c r="G13" s="22" t="n">
        <v>70000</v>
      </c>
      <c r="H13" s="23" t="n">
        <f aca="false">F13+G13</f>
        <v>160000</v>
      </c>
      <c r="I13" s="24" t="n">
        <f aca="false">SUM(K13:T13)</f>
        <v>1</v>
      </c>
      <c r="J13" s="23" t="n">
        <f aca="false">IF(I13=0,0,H13/I13)</f>
        <v>160000</v>
      </c>
      <c r="K13" s="25" t="n">
        <v>0</v>
      </c>
      <c r="L13" s="25" t="n">
        <v>0</v>
      </c>
      <c r="M13" s="25" t="n">
        <v>0</v>
      </c>
      <c r="N13" s="25" t="n">
        <v>0</v>
      </c>
      <c r="O13" s="25" t="n">
        <v>0</v>
      </c>
      <c r="P13" s="25" t="n">
        <v>0</v>
      </c>
      <c r="Q13" s="25" t="n">
        <v>0</v>
      </c>
      <c r="R13" s="25" t="n">
        <v>0</v>
      </c>
      <c r="S13" s="25" t="n">
        <v>1</v>
      </c>
      <c r="T13" s="25" t="n">
        <v>0</v>
      </c>
      <c r="U13" s="12" t="s">
        <v>132</v>
      </c>
      <c r="V13" s="12" t="s">
        <v>133</v>
      </c>
      <c r="W13" s="19" t="s">
        <v>175</v>
      </c>
    </row>
    <row r="14" customFormat="false" ht="23.85" hidden="false" customHeight="false" outlineLevel="0" collapsed="false">
      <c r="A14" s="12" t="s">
        <v>176</v>
      </c>
      <c r="B14" s="19" t="s">
        <v>177</v>
      </c>
      <c r="C14" s="19" t="s">
        <v>178</v>
      </c>
      <c r="D14" s="12" t="s">
        <v>122</v>
      </c>
      <c r="E14" s="19" t="s">
        <v>179</v>
      </c>
      <c r="F14" s="22" t="n">
        <v>120000</v>
      </c>
      <c r="G14" s="22" t="n">
        <v>80000</v>
      </c>
      <c r="H14" s="23" t="n">
        <f aca="false">F14+G14</f>
        <v>200000</v>
      </c>
      <c r="I14" s="24" t="n">
        <f aca="false">SUM(K14:T14)</f>
        <v>5</v>
      </c>
      <c r="J14" s="23" t="n">
        <f aca="false">IF(I14=0,0,H14/I14)</f>
        <v>40000</v>
      </c>
      <c r="K14" s="25" t="n">
        <v>0</v>
      </c>
      <c r="L14" s="25" t="n">
        <v>1</v>
      </c>
      <c r="M14" s="25" t="n">
        <v>1</v>
      </c>
      <c r="N14" s="25" t="n">
        <v>0</v>
      </c>
      <c r="O14" s="25" t="n">
        <v>0</v>
      </c>
      <c r="P14" s="25" t="n">
        <v>0</v>
      </c>
      <c r="Q14" s="25" t="n">
        <v>0</v>
      </c>
      <c r="R14" s="25" t="n">
        <v>1</v>
      </c>
      <c r="S14" s="25" t="n">
        <v>1</v>
      </c>
      <c r="T14" s="25" t="n">
        <v>1</v>
      </c>
      <c r="U14" s="12" t="s">
        <v>124</v>
      </c>
      <c r="V14" s="12" t="s">
        <v>125</v>
      </c>
      <c r="W14" s="19" t="s">
        <v>180</v>
      </c>
    </row>
    <row r="15" customFormat="false" ht="23.85" hidden="false" customHeight="false" outlineLevel="0" collapsed="false">
      <c r="A15" s="12" t="s">
        <v>181</v>
      </c>
      <c r="B15" s="19" t="s">
        <v>182</v>
      </c>
      <c r="C15" s="19" t="s">
        <v>183</v>
      </c>
      <c r="D15" s="12" t="s">
        <v>122</v>
      </c>
      <c r="E15" s="19" t="s">
        <v>174</v>
      </c>
      <c r="F15" s="22" t="n">
        <v>70000</v>
      </c>
      <c r="G15" s="22" t="n">
        <v>90000</v>
      </c>
      <c r="H15" s="23" t="n">
        <f aca="false">F15+G15</f>
        <v>160000</v>
      </c>
      <c r="I15" s="24" t="n">
        <f aca="false">SUM(K15:T15)</f>
        <v>4</v>
      </c>
      <c r="J15" s="23" t="n">
        <f aca="false">IF(I15=0,0,H15/I15)</f>
        <v>40000</v>
      </c>
      <c r="K15" s="25" t="n">
        <v>1</v>
      </c>
      <c r="L15" s="25" t="n">
        <v>1</v>
      </c>
      <c r="M15" s="25" t="n">
        <v>0</v>
      </c>
      <c r="N15" s="25" t="n">
        <v>0</v>
      </c>
      <c r="O15" s="25" t="n">
        <v>1</v>
      </c>
      <c r="P15" s="25" t="n">
        <v>0</v>
      </c>
      <c r="Q15" s="25" t="n">
        <v>0</v>
      </c>
      <c r="R15" s="25" t="n">
        <v>1</v>
      </c>
      <c r="S15" s="25" t="n">
        <v>0</v>
      </c>
      <c r="T15" s="25" t="n">
        <v>0</v>
      </c>
      <c r="U15" s="12" t="s">
        <v>124</v>
      </c>
      <c r="V15" s="12" t="s">
        <v>159</v>
      </c>
      <c r="W15" s="19" t="s">
        <v>184</v>
      </c>
    </row>
    <row r="16" customFormat="false" ht="23.85" hidden="false" customHeight="false" outlineLevel="0" collapsed="false">
      <c r="A16" s="12" t="s">
        <v>185</v>
      </c>
      <c r="B16" s="19" t="s">
        <v>186</v>
      </c>
      <c r="C16" s="19" t="s">
        <v>187</v>
      </c>
      <c r="D16" s="12" t="s">
        <v>151</v>
      </c>
      <c r="E16" s="19" t="s">
        <v>188</v>
      </c>
      <c r="F16" s="22" t="n">
        <v>100000</v>
      </c>
      <c r="G16" s="22" t="n">
        <v>40000</v>
      </c>
      <c r="H16" s="23" t="n">
        <f aca="false">F16+G16</f>
        <v>140000</v>
      </c>
      <c r="I16" s="24" t="n">
        <f aca="false">SUM(K16:T16)</f>
        <v>1</v>
      </c>
      <c r="J16" s="23" t="n">
        <f aca="false">IF(I16=0,0,H16/I16)</f>
        <v>140000</v>
      </c>
      <c r="K16" s="25" t="n">
        <v>0</v>
      </c>
      <c r="L16" s="25" t="n">
        <v>0</v>
      </c>
      <c r="M16" s="25" t="n">
        <v>0</v>
      </c>
      <c r="N16" s="25" t="n">
        <v>0</v>
      </c>
      <c r="O16" s="25" t="n">
        <v>0</v>
      </c>
      <c r="P16" s="25" t="n">
        <v>0</v>
      </c>
      <c r="Q16" s="25" t="n">
        <v>0</v>
      </c>
      <c r="R16" s="25" t="n">
        <v>0</v>
      </c>
      <c r="S16" s="25" t="n">
        <v>0</v>
      </c>
      <c r="T16" s="25" t="n">
        <v>1</v>
      </c>
      <c r="U16" s="12" t="s">
        <v>125</v>
      </c>
      <c r="V16" s="12" t="s">
        <v>189</v>
      </c>
      <c r="W16" s="19" t="s">
        <v>190</v>
      </c>
    </row>
    <row r="17" customFormat="false" ht="15" hidden="false" customHeight="false" outlineLevel="0" collapsed="false">
      <c r="B17" s="13" t="s">
        <v>191</v>
      </c>
      <c r="F17" s="15" t="n">
        <f aca="false">SUM(F4:F16)</f>
        <v>2410000</v>
      </c>
      <c r="G17" s="15" t="n">
        <f aca="false">SUM(G4:G16)</f>
        <v>1456000</v>
      </c>
      <c r="H17" s="15" t="n">
        <f aca="false">SUM(H4:H16)</f>
        <v>3866000</v>
      </c>
      <c r="K17" s="15" t="n">
        <f aca="false">SUMPRODUCT(K4:K16,$J$4:$J$16)</f>
        <v>223888.888888889</v>
      </c>
      <c r="L17" s="15" t="n">
        <f aca="false">SUMPRODUCT(L4:L16,$J$4:$J$16)</f>
        <v>585888.888888889</v>
      </c>
      <c r="M17" s="15" t="n">
        <f aca="false">SUMPRODUCT(M4:M16,$J$4:$J$16)</f>
        <v>423888.888888889</v>
      </c>
      <c r="N17" s="15" t="n">
        <f aca="false">SUMPRODUCT(N4:N16,$J$4:$J$16)</f>
        <v>345555.555555556</v>
      </c>
      <c r="O17" s="15" t="n">
        <f aca="false">SUMPRODUCT(O4:O16,$J$4:$J$16)</f>
        <v>260555.555555556</v>
      </c>
      <c r="P17" s="15" t="n">
        <f aca="false">SUMPRODUCT(P4:P16,$J$4:$J$16)</f>
        <v>320888.888888889</v>
      </c>
      <c r="Q17" s="15" t="n">
        <f aca="false">SUMPRODUCT(Q4:Q16,$J$4:$J$16)</f>
        <v>522000</v>
      </c>
      <c r="R17" s="15" t="n">
        <f aca="false">SUMPRODUCT(R4:R16,$J$4:$J$16)</f>
        <v>208888.888888889</v>
      </c>
      <c r="S17" s="15" t="n">
        <f aca="false">SUMPRODUCT(S4:S16,$J$4:$J$16)</f>
        <v>383888.888888889</v>
      </c>
      <c r="T17" s="15" t="n">
        <f aca="false">SUMPRODUCT(T4:T16,$J$4:$J$16)</f>
        <v>590555.555555556</v>
      </c>
    </row>
    <row r="18" customFormat="false" ht="15" hidden="false" customHeight="false" outlineLevel="0" collapsed="false">
      <c r="B18" s="12" t="s">
        <v>192</v>
      </c>
      <c r="H18" s="26" t="n">
        <f aca="false">SUM(K17:T17)-H17</f>
        <v>0</v>
      </c>
    </row>
    <row r="20" customFormat="false" ht="15" hidden="false" customHeight="false" outlineLevel="0" collapsed="false">
      <c r="B20" s="2" t="s">
        <v>193</v>
      </c>
    </row>
    <row r="21" customFormat="false" ht="15" hidden="false" customHeight="false" outlineLevel="0" collapsed="false">
      <c r="B21" s="2"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4" min="3" style="0" width="7"/>
    <col collapsed="false" customWidth="true" hidden="false" outlineLevel="0" max="5" min="5" style="0" width="8"/>
    <col collapsed="false" customWidth="true" hidden="false" outlineLevel="0" max="12" min="6" style="0" width="7"/>
    <col collapsed="false" customWidth="true" hidden="false" outlineLevel="0" max="15" min="13" style="0" width="11"/>
    <col collapsed="false" customWidth="true" hidden="false" outlineLevel="0" max="16" min="16" style="0" width="8"/>
    <col collapsed="false" customWidth="true" hidden="false" outlineLevel="0" max="17" min="17" style="0" width="26"/>
  </cols>
  <sheetData>
    <row r="1" customFormat="false" ht="17.35" hidden="false" customHeight="false" outlineLevel="0" collapsed="false">
      <c r="A1" s="1" t="s">
        <v>195</v>
      </c>
    </row>
    <row r="2" customFormat="false" ht="15" hidden="false" customHeight="false" outlineLevel="0" collapsed="false">
      <c r="A2" s="2" t="s">
        <v>196</v>
      </c>
    </row>
    <row r="4" customFormat="false" ht="23.85" hidden="false" customHeight="false" outlineLevel="0" collapsed="false">
      <c r="A4" s="3" t="s">
        <v>22</v>
      </c>
      <c r="B4" s="3" t="s">
        <v>197</v>
      </c>
      <c r="C4" s="3" t="s">
        <v>198</v>
      </c>
      <c r="D4" s="3" t="s">
        <v>24</v>
      </c>
      <c r="E4" s="3" t="s">
        <v>25</v>
      </c>
      <c r="F4" s="3" t="s">
        <v>27</v>
      </c>
      <c r="G4" s="3" t="s">
        <v>28</v>
      </c>
      <c r="H4" s="3" t="s">
        <v>30</v>
      </c>
      <c r="I4" s="3" t="s">
        <v>199</v>
      </c>
      <c r="J4" s="3" t="s">
        <v>200</v>
      </c>
      <c r="K4" s="3" t="s">
        <v>201</v>
      </c>
      <c r="L4" s="3" t="s">
        <v>202</v>
      </c>
      <c r="M4" s="3" t="s">
        <v>203</v>
      </c>
      <c r="N4" s="3" t="s">
        <v>204</v>
      </c>
      <c r="O4" s="3" t="s">
        <v>40</v>
      </c>
      <c r="P4" s="3" t="s">
        <v>205</v>
      </c>
      <c r="Q4" s="3" t="s">
        <v>42</v>
      </c>
    </row>
    <row r="5" customFormat="false" ht="15" hidden="false" customHeight="false" outlineLevel="0" collapsed="false">
      <c r="A5" s="12" t="s">
        <v>79</v>
      </c>
      <c r="B5" s="12" t="s">
        <v>206</v>
      </c>
      <c r="C5" s="10" t="n">
        <f aca="false">-1*Parameters!$B$9</f>
        <v>-0.1</v>
      </c>
      <c r="D5" s="10" t="n">
        <f aca="false">MAX(0.05,MIN(0.99,Inputs!C5+C5))</f>
        <v>0.65</v>
      </c>
      <c r="E5" s="10" t="n">
        <f aca="false">MAX(0.05,MIN(0.99,Inputs!D5+C5))</f>
        <v>0.4</v>
      </c>
      <c r="F5" s="10" t="n">
        <f aca="false">MAX(0.05,MIN(0.99,Inputs!E5+C5))</f>
        <v>0.6</v>
      </c>
      <c r="G5" s="10" t="n">
        <f aca="false">MAX(0.05,MIN(0.99,Inputs!F5+C5))</f>
        <v>0.85</v>
      </c>
      <c r="H5" s="10" t="n">
        <f aca="false">MAX(0.05,MIN(0.99,Inputs!G5-C5))</f>
        <v>0.45</v>
      </c>
      <c r="I5" s="6" t="n">
        <f aca="false">Inputs!H5</f>
        <v>0.95</v>
      </c>
      <c r="J5" s="7" t="n">
        <f aca="false">Inputs!J5</f>
        <v>9.3</v>
      </c>
      <c r="K5" s="10" t="n">
        <f aca="false">MAX(0.05,MIN(0.99,Inputs!K5-C5))</f>
        <v>0.85</v>
      </c>
      <c r="L5" s="10" t="n">
        <f aca="false">MAX(0.05,MIN(0.99,Inputs!L5-C5))</f>
        <v>0.85</v>
      </c>
      <c r="M5" s="9" t="n">
        <f aca="false">D5*E5*J5*((F5+G5)/2)*I5/H5*Parameters!$B$5</f>
        <v>3700.88333333333</v>
      </c>
      <c r="N5" s="9" t="n">
        <f aca="false">D5*E5*J5*Parameters!$B$4*I5/H5*Parameters!$B$5</f>
        <v>1531.4</v>
      </c>
      <c r="O5" s="9" t="n">
        <f aca="false">M5-M5*K5*L5</f>
        <v>1026.995125</v>
      </c>
      <c r="P5" s="10" t="n">
        <f aca="false">O5/N5</f>
        <v>0.670625</v>
      </c>
      <c r="Q5" s="12" t="str">
        <f aca="false">IF(P5&lt;Parameters!$B$6,"Below tolerance",IF(P5&lt;=Parameters!$B$7,"Approximately at tolerance","Above tolerance"))</f>
        <v>Below tolerance</v>
      </c>
    </row>
    <row r="6" customFormat="false" ht="15" hidden="false" customHeight="false" outlineLevel="0" collapsed="false">
      <c r="A6" s="12" t="s">
        <v>79</v>
      </c>
      <c r="B6" s="12" t="s">
        <v>207</v>
      </c>
      <c r="C6" s="10" t="n">
        <f aca="false">0*Parameters!$B$9</f>
        <v>0</v>
      </c>
      <c r="D6" s="10" t="n">
        <f aca="false">MAX(0.05,MIN(0.99,Inputs!C5+C6))</f>
        <v>0.75</v>
      </c>
      <c r="E6" s="10" t="n">
        <f aca="false">MAX(0.05,MIN(0.99,Inputs!D5+C6))</f>
        <v>0.5</v>
      </c>
      <c r="F6" s="10" t="n">
        <f aca="false">MAX(0.05,MIN(0.99,Inputs!E5+C6))</f>
        <v>0.7</v>
      </c>
      <c r="G6" s="10" t="n">
        <f aca="false">MAX(0.05,MIN(0.99,Inputs!F5+C6))</f>
        <v>0.95</v>
      </c>
      <c r="H6" s="10" t="n">
        <f aca="false">MAX(0.05,MIN(0.99,Inputs!G5-C6))</f>
        <v>0.35</v>
      </c>
      <c r="I6" s="6" t="n">
        <f aca="false">Inputs!H5</f>
        <v>0.95</v>
      </c>
      <c r="J6" s="7" t="n">
        <f aca="false">Inputs!J5</f>
        <v>9.3</v>
      </c>
      <c r="K6" s="10" t="n">
        <f aca="false">MAX(0.05,MIN(0.99,Inputs!K5-C6))</f>
        <v>0.75</v>
      </c>
      <c r="L6" s="10" t="n">
        <f aca="false">MAX(0.05,MIN(0.99,Inputs!L5-C6))</f>
        <v>0.75</v>
      </c>
      <c r="M6" s="9" t="n">
        <f aca="false">D6*E6*J6*((F6+G6)/2)*I6/H6*Parameters!$B$5</f>
        <v>7809.50892857143</v>
      </c>
      <c r="N6" s="9" t="n">
        <f aca="false">D6*E6*J6*Parameters!$B$4*I6/H6*Parameters!$B$5</f>
        <v>2839.82142857143</v>
      </c>
      <c r="O6" s="9" t="n">
        <f aca="false">M6-M6*K6*L6</f>
        <v>3416.66015625</v>
      </c>
      <c r="P6" s="10" t="n">
        <f aca="false">O6/N6</f>
        <v>1.203125</v>
      </c>
      <c r="Q6" s="12" t="str">
        <f aca="false">IF(P6&lt;Parameters!$B$6,"Below tolerance",IF(P6&lt;=Parameters!$B$7,"Approximately at tolerance","Above tolerance"))</f>
        <v>Above tolerance</v>
      </c>
    </row>
    <row r="7" customFormat="false" ht="15" hidden="false" customHeight="false" outlineLevel="0" collapsed="false">
      <c r="A7" s="12" t="s">
        <v>79</v>
      </c>
      <c r="B7" s="12" t="s">
        <v>208</v>
      </c>
      <c r="C7" s="10" t="n">
        <f aca="false">1*Parameters!$B$9</f>
        <v>0.1</v>
      </c>
      <c r="D7" s="10" t="n">
        <f aca="false">MAX(0.05,MIN(0.99,Inputs!C5+C7))</f>
        <v>0.85</v>
      </c>
      <c r="E7" s="10" t="n">
        <f aca="false">MAX(0.05,MIN(0.99,Inputs!D5+C7))</f>
        <v>0.6</v>
      </c>
      <c r="F7" s="10" t="n">
        <f aca="false">MAX(0.05,MIN(0.99,Inputs!E5+C7))</f>
        <v>0.8</v>
      </c>
      <c r="G7" s="10" t="n">
        <f aca="false">MAX(0.05,MIN(0.99,Inputs!F5+C7))</f>
        <v>0.99</v>
      </c>
      <c r="H7" s="10" t="n">
        <f aca="false">MAX(0.05,MIN(0.99,Inputs!G5-C7))</f>
        <v>0.25</v>
      </c>
      <c r="I7" s="6" t="n">
        <f aca="false">Inputs!H5</f>
        <v>0.95</v>
      </c>
      <c r="J7" s="7" t="n">
        <f aca="false">Inputs!J5</f>
        <v>9.3</v>
      </c>
      <c r="K7" s="10" t="n">
        <f aca="false">MAX(0.05,MIN(0.99,Inputs!K5-C7))</f>
        <v>0.65</v>
      </c>
      <c r="L7" s="10" t="n">
        <f aca="false">MAX(0.05,MIN(0.99,Inputs!L5-C7))</f>
        <v>0.65</v>
      </c>
      <c r="M7" s="9" t="n">
        <f aca="false">D7*E7*J7*((F7+G7)/2)*I7/H7*Parameters!$B$5</f>
        <v>16130.943</v>
      </c>
      <c r="N7" s="9" t="n">
        <f aca="false">D7*E7*J7*Parameters!$B$4*I7/H7*Parameters!$B$5</f>
        <v>5407.02</v>
      </c>
      <c r="O7" s="9" t="n">
        <f aca="false">M7-M7*K7*L7</f>
        <v>9315.6195825</v>
      </c>
      <c r="P7" s="10" t="n">
        <f aca="false">O7/N7</f>
        <v>1.722875</v>
      </c>
      <c r="Q7" s="12" t="str">
        <f aca="false">IF(P7&lt;Parameters!$B$6,"Below tolerance",IF(P7&lt;=Parameters!$B$7,"Approximately at tolerance","Above tolerance"))</f>
        <v>Above tolerance</v>
      </c>
    </row>
    <row r="8" customFormat="false" ht="15" hidden="false" customHeight="false" outlineLevel="0" collapsed="false">
      <c r="A8" s="12" t="s">
        <v>94</v>
      </c>
      <c r="B8" s="12" t="s">
        <v>206</v>
      </c>
      <c r="C8" s="10" t="n">
        <f aca="false">-1*Parameters!$B$9</f>
        <v>-0.1</v>
      </c>
      <c r="D8" s="10" t="n">
        <f aca="false">MAX(0.05,MIN(0.99,Inputs!C10+C8))</f>
        <v>0.35</v>
      </c>
      <c r="E8" s="10" t="n">
        <f aca="false">MAX(0.05,MIN(0.99,Inputs!D10+C8))</f>
        <v>0.4</v>
      </c>
      <c r="F8" s="10" t="n">
        <f aca="false">MAX(0.05,MIN(0.99,Inputs!E10+C8))</f>
        <v>0.45</v>
      </c>
      <c r="G8" s="10" t="n">
        <f aca="false">MAX(0.05,MIN(0.99,Inputs!F10+C8))</f>
        <v>0.85</v>
      </c>
      <c r="H8" s="10" t="n">
        <f aca="false">MAX(0.05,MIN(0.99,Inputs!G10-C8))</f>
        <v>0.45</v>
      </c>
      <c r="I8" s="6" t="n">
        <f aca="false">Inputs!H10</f>
        <v>0.9</v>
      </c>
      <c r="J8" s="7" t="n">
        <f aca="false">Inputs!J10</f>
        <v>8.7</v>
      </c>
      <c r="K8" s="10" t="n">
        <f aca="false">MAX(0.05,MIN(0.99,Inputs!K10-C8))</f>
        <v>0.8</v>
      </c>
      <c r="L8" s="10" t="n">
        <f aca="false">MAX(0.05,MIN(0.99,Inputs!L10-C8))</f>
        <v>0.7</v>
      </c>
      <c r="M8" s="9" t="n">
        <f aca="false">D8*E8*J8*((F8+G8)/2)*I8/H8*Parameters!$B$5</f>
        <v>1583.4</v>
      </c>
      <c r="N8" s="9" t="n">
        <f aca="false">D8*E8*J8*Parameters!$B$4*I8/H8*Parameters!$B$5</f>
        <v>730.8</v>
      </c>
      <c r="O8" s="9" t="n">
        <f aca="false">M8-M8*K8*L8</f>
        <v>696.696</v>
      </c>
      <c r="P8" s="10" t="n">
        <f aca="false">O8/N8</f>
        <v>0.953333333333334</v>
      </c>
      <c r="Q8" s="12" t="str">
        <f aca="false">IF(P8&lt;Parameters!$B$6,"Below tolerance",IF(P8&lt;=Parameters!$B$7,"Approximately at tolerance","Above tolerance"))</f>
        <v>Approximately at tolerance</v>
      </c>
    </row>
    <row r="9" customFormat="false" ht="15" hidden="false" customHeight="false" outlineLevel="0" collapsed="false">
      <c r="A9" s="12" t="s">
        <v>94</v>
      </c>
      <c r="B9" s="12" t="s">
        <v>207</v>
      </c>
      <c r="C9" s="10" t="n">
        <f aca="false">0*Parameters!$B$9</f>
        <v>0</v>
      </c>
      <c r="D9" s="10" t="n">
        <f aca="false">MAX(0.05,MIN(0.99,Inputs!C10+C9))</f>
        <v>0.45</v>
      </c>
      <c r="E9" s="10" t="n">
        <f aca="false">MAX(0.05,MIN(0.99,Inputs!D10+C9))</f>
        <v>0.5</v>
      </c>
      <c r="F9" s="10" t="n">
        <f aca="false">MAX(0.05,MIN(0.99,Inputs!E10+C9))</f>
        <v>0.55</v>
      </c>
      <c r="G9" s="10" t="n">
        <f aca="false">MAX(0.05,MIN(0.99,Inputs!F10+C9))</f>
        <v>0.95</v>
      </c>
      <c r="H9" s="10" t="n">
        <f aca="false">MAX(0.05,MIN(0.99,Inputs!G10-C9))</f>
        <v>0.35</v>
      </c>
      <c r="I9" s="6" t="n">
        <f aca="false">Inputs!H10</f>
        <v>0.9</v>
      </c>
      <c r="J9" s="7" t="n">
        <f aca="false">Inputs!J10</f>
        <v>8.7</v>
      </c>
      <c r="K9" s="10" t="n">
        <f aca="false">MAX(0.05,MIN(0.99,Inputs!K10-C9))</f>
        <v>0.7</v>
      </c>
      <c r="L9" s="10" t="n">
        <f aca="false">MAX(0.05,MIN(0.99,Inputs!L10-C9))</f>
        <v>0.6</v>
      </c>
      <c r="M9" s="9" t="n">
        <f aca="false">D9*E9*J9*((F9+G9)/2)*I9/H9*Parameters!$B$5</f>
        <v>3775.17857142857</v>
      </c>
      <c r="N9" s="9" t="n">
        <f aca="false">D9*E9*J9*Parameters!$B$4*I9/H9*Parameters!$B$5</f>
        <v>1510.07142857143</v>
      </c>
      <c r="O9" s="9" t="n">
        <f aca="false">M9-M9*K9*L9</f>
        <v>2189.60357142857</v>
      </c>
      <c r="P9" s="10" t="n">
        <f aca="false">O9/N9</f>
        <v>1.45</v>
      </c>
      <c r="Q9" s="12" t="str">
        <f aca="false">IF(P9&lt;Parameters!$B$6,"Below tolerance",IF(P9&lt;=Parameters!$B$7,"Approximately at tolerance","Above tolerance"))</f>
        <v>Above tolerance</v>
      </c>
    </row>
    <row r="10" customFormat="false" ht="15" hidden="false" customHeight="false" outlineLevel="0" collapsed="false">
      <c r="A10" s="12" t="s">
        <v>94</v>
      </c>
      <c r="B10" s="12" t="s">
        <v>208</v>
      </c>
      <c r="C10" s="10" t="n">
        <f aca="false">1*Parameters!$B$9</f>
        <v>0.1</v>
      </c>
      <c r="D10" s="10" t="n">
        <f aca="false">MAX(0.05,MIN(0.99,Inputs!C10+C10))</f>
        <v>0.55</v>
      </c>
      <c r="E10" s="10" t="n">
        <f aca="false">MAX(0.05,MIN(0.99,Inputs!D10+C10))</f>
        <v>0.6</v>
      </c>
      <c r="F10" s="10" t="n">
        <f aca="false">MAX(0.05,MIN(0.99,Inputs!E10+C10))</f>
        <v>0.65</v>
      </c>
      <c r="G10" s="10" t="n">
        <f aca="false">MAX(0.05,MIN(0.99,Inputs!F10+C10))</f>
        <v>0.99</v>
      </c>
      <c r="H10" s="10" t="n">
        <f aca="false">MAX(0.05,MIN(0.99,Inputs!G10-C10))</f>
        <v>0.25</v>
      </c>
      <c r="I10" s="6" t="n">
        <f aca="false">Inputs!H10</f>
        <v>0.9</v>
      </c>
      <c r="J10" s="7" t="n">
        <f aca="false">Inputs!J10</f>
        <v>8.7</v>
      </c>
      <c r="K10" s="10" t="n">
        <f aca="false">MAX(0.05,MIN(0.99,Inputs!K10-C10))</f>
        <v>0.6</v>
      </c>
      <c r="L10" s="10" t="n">
        <f aca="false">MAX(0.05,MIN(0.99,Inputs!L10-C10))</f>
        <v>0.5</v>
      </c>
      <c r="M10" s="9" t="n">
        <f aca="false">D10*E10*J10*((F10+G10)/2)*I10/H10*Parameters!$B$5</f>
        <v>8475.192</v>
      </c>
      <c r="N10" s="9" t="n">
        <f aca="false">D10*E10*J10*Parameters!$B$4*I10/H10*Parameters!$B$5</f>
        <v>3100.68</v>
      </c>
      <c r="O10" s="9" t="n">
        <f aca="false">M10-M10*K10*L10</f>
        <v>5932.6344</v>
      </c>
      <c r="P10" s="10" t="n">
        <f aca="false">O10/N10</f>
        <v>1.91333333333333</v>
      </c>
      <c r="Q10" s="12" t="str">
        <f aca="false">IF(P10&lt;Parameters!$B$6,"Below tolerance",IF(P10&lt;=Parameters!$B$7,"Approximately at tolerance","Above tolerance"))</f>
        <v>Above tolerance</v>
      </c>
    </row>
    <row r="11" customFormat="false" ht="15" hidden="false" customHeight="false" outlineLevel="0" collapsed="false">
      <c r="A11" s="12" t="s">
        <v>100</v>
      </c>
      <c r="B11" s="12" t="s">
        <v>206</v>
      </c>
      <c r="C11" s="10" t="n">
        <f aca="false">-1*Parameters!$B$9</f>
        <v>-0.1</v>
      </c>
      <c r="D11" s="10" t="n">
        <f aca="false">MAX(0.05,MIN(0.99,Inputs!C12+C11))</f>
        <v>0.45</v>
      </c>
      <c r="E11" s="10" t="n">
        <f aca="false">MAX(0.05,MIN(0.99,Inputs!D12+C11))</f>
        <v>0.35</v>
      </c>
      <c r="F11" s="10" t="n">
        <f aca="false">MAX(0.05,MIN(0.99,Inputs!E12+C11))</f>
        <v>0.5</v>
      </c>
      <c r="G11" s="10" t="n">
        <f aca="false">MAX(0.05,MIN(0.99,Inputs!F12+C11))</f>
        <v>0.8</v>
      </c>
      <c r="H11" s="10" t="n">
        <f aca="false">MAX(0.05,MIN(0.99,Inputs!G12-C11))</f>
        <v>0.45</v>
      </c>
      <c r="I11" s="6" t="n">
        <f aca="false">Inputs!H12</f>
        <v>0.85</v>
      </c>
      <c r="J11" s="7" t="n">
        <f aca="false">Inputs!J12</f>
        <v>9</v>
      </c>
      <c r="K11" s="10" t="n">
        <f aca="false">MAX(0.05,MIN(0.99,Inputs!K12-C11))</f>
        <v>0.65</v>
      </c>
      <c r="L11" s="10" t="n">
        <f aca="false">MAX(0.05,MIN(0.99,Inputs!L12-C11))</f>
        <v>0.8</v>
      </c>
      <c r="M11" s="9" t="n">
        <f aca="false">D11*E11*J11*((F11+G11)/2)*I11/H11*Parameters!$B$5</f>
        <v>1740.375</v>
      </c>
      <c r="N11" s="9" t="n">
        <f aca="false">D11*E11*J11*Parameters!$B$4*I11/H11*Parameters!$B$5</f>
        <v>803.25</v>
      </c>
      <c r="O11" s="9" t="n">
        <f aca="false">M11-M11*K11*L11</f>
        <v>835.38</v>
      </c>
      <c r="P11" s="10" t="n">
        <f aca="false">O11/N11</f>
        <v>1.04</v>
      </c>
      <c r="Q11" s="12" t="str">
        <f aca="false">IF(P11&lt;Parameters!$B$6,"Below tolerance",IF(P11&lt;=Parameters!$B$7,"Approximately at tolerance","Above tolerance"))</f>
        <v>Approximately at tolerance</v>
      </c>
    </row>
    <row r="12" customFormat="false" ht="15" hidden="false" customHeight="false" outlineLevel="0" collapsed="false">
      <c r="A12" s="12" t="s">
        <v>100</v>
      </c>
      <c r="B12" s="12" t="s">
        <v>207</v>
      </c>
      <c r="C12" s="10" t="n">
        <f aca="false">0*Parameters!$B$9</f>
        <v>0</v>
      </c>
      <c r="D12" s="10" t="n">
        <f aca="false">MAX(0.05,MIN(0.99,Inputs!C12+C12))</f>
        <v>0.55</v>
      </c>
      <c r="E12" s="10" t="n">
        <f aca="false">MAX(0.05,MIN(0.99,Inputs!D12+C12))</f>
        <v>0.45</v>
      </c>
      <c r="F12" s="10" t="n">
        <f aca="false">MAX(0.05,MIN(0.99,Inputs!E12+C12))</f>
        <v>0.6</v>
      </c>
      <c r="G12" s="10" t="n">
        <f aca="false">MAX(0.05,MIN(0.99,Inputs!F12+C12))</f>
        <v>0.9</v>
      </c>
      <c r="H12" s="10" t="n">
        <f aca="false">MAX(0.05,MIN(0.99,Inputs!G12-C12))</f>
        <v>0.35</v>
      </c>
      <c r="I12" s="6" t="n">
        <f aca="false">Inputs!H12</f>
        <v>0.85</v>
      </c>
      <c r="J12" s="7" t="n">
        <f aca="false">Inputs!J12</f>
        <v>9</v>
      </c>
      <c r="K12" s="10" t="n">
        <f aca="false">MAX(0.05,MIN(0.99,Inputs!K12-C12))</f>
        <v>0.55</v>
      </c>
      <c r="L12" s="10" t="n">
        <f aca="false">MAX(0.05,MIN(0.99,Inputs!L12-C12))</f>
        <v>0.7</v>
      </c>
      <c r="M12" s="9" t="n">
        <f aca="false">D12*E12*J12*((F12+G12)/2)*I12/H12*Parameters!$B$5</f>
        <v>4057.23214285714</v>
      </c>
      <c r="N12" s="9" t="n">
        <f aca="false">D12*E12*J12*Parameters!$B$4*I12/H12*Parameters!$B$5</f>
        <v>1622.89285714286</v>
      </c>
      <c r="O12" s="9" t="n">
        <f aca="false">M12-M12*K12*L12</f>
        <v>2495.19776785714</v>
      </c>
      <c r="P12" s="10" t="n">
        <f aca="false">O12/N12</f>
        <v>1.5375</v>
      </c>
      <c r="Q12" s="12" t="str">
        <f aca="false">IF(P12&lt;Parameters!$B$6,"Below tolerance",IF(P12&lt;=Parameters!$B$7,"Approximately at tolerance","Above tolerance"))</f>
        <v>Above tolerance</v>
      </c>
    </row>
    <row r="13" customFormat="false" ht="15" hidden="false" customHeight="false" outlineLevel="0" collapsed="false">
      <c r="A13" s="12" t="s">
        <v>100</v>
      </c>
      <c r="B13" s="12" t="s">
        <v>208</v>
      </c>
      <c r="C13" s="10" t="n">
        <f aca="false">1*Parameters!$B$9</f>
        <v>0.1</v>
      </c>
      <c r="D13" s="10" t="n">
        <f aca="false">MAX(0.05,MIN(0.99,Inputs!C12+C13))</f>
        <v>0.65</v>
      </c>
      <c r="E13" s="10" t="n">
        <f aca="false">MAX(0.05,MIN(0.99,Inputs!D12+C13))</f>
        <v>0.55</v>
      </c>
      <c r="F13" s="10" t="n">
        <f aca="false">MAX(0.05,MIN(0.99,Inputs!E12+C13))</f>
        <v>0.7</v>
      </c>
      <c r="G13" s="10" t="n">
        <f aca="false">MAX(0.05,MIN(0.99,Inputs!F12+C13))</f>
        <v>0.99</v>
      </c>
      <c r="H13" s="10" t="n">
        <f aca="false">MAX(0.05,MIN(0.99,Inputs!G12-C13))</f>
        <v>0.25</v>
      </c>
      <c r="I13" s="6" t="n">
        <f aca="false">Inputs!H12</f>
        <v>0.85</v>
      </c>
      <c r="J13" s="7" t="n">
        <f aca="false">Inputs!J12</f>
        <v>9</v>
      </c>
      <c r="K13" s="10" t="n">
        <f aca="false">MAX(0.05,MIN(0.99,Inputs!K12-C13))</f>
        <v>0.45</v>
      </c>
      <c r="L13" s="10" t="n">
        <f aca="false">MAX(0.05,MIN(0.99,Inputs!L12-C13))</f>
        <v>0.6</v>
      </c>
      <c r="M13" s="9" t="n">
        <f aca="false">D13*E13*J13*((F13+G13)/2)*I13/H13*Parameters!$B$5</f>
        <v>9243.8775</v>
      </c>
      <c r="N13" s="9" t="n">
        <f aca="false">D13*E13*J13*Parameters!$B$4*I13/H13*Parameters!$B$5</f>
        <v>3281.85</v>
      </c>
      <c r="O13" s="9" t="n">
        <f aca="false">M13-M13*K13*L13</f>
        <v>6748.030575</v>
      </c>
      <c r="P13" s="10" t="n">
        <f aca="false">O13/N13</f>
        <v>2.05616666666667</v>
      </c>
      <c r="Q13" s="12" t="str">
        <f aca="false">IF(P13&lt;Parameters!$B$6,"Below tolerance",IF(P13&lt;=Parameters!$B$7,"Approximately at tolerance","Above tolerance"))</f>
        <v>Above tolerance</v>
      </c>
    </row>
    <row r="14" customFormat="false" ht="15" hidden="false" customHeight="false" outlineLevel="0" collapsed="false">
      <c r="A14" s="12" t="s">
        <v>73</v>
      </c>
      <c r="B14" s="12" t="s">
        <v>206</v>
      </c>
      <c r="C14" s="10" t="n">
        <f aca="false">-1*Parameters!$B$9</f>
        <v>-0.1</v>
      </c>
      <c r="D14" s="10" t="n">
        <f aca="false">MAX(0.05,MIN(0.99,Inputs!C4+C14))</f>
        <v>0.75</v>
      </c>
      <c r="E14" s="10" t="n">
        <f aca="false">MAX(0.05,MIN(0.99,Inputs!D4+C14))</f>
        <v>0.45</v>
      </c>
      <c r="F14" s="10" t="n">
        <f aca="false">MAX(0.05,MIN(0.99,Inputs!E4+C14))</f>
        <v>0.45</v>
      </c>
      <c r="G14" s="10" t="n">
        <f aca="false">MAX(0.05,MIN(0.99,Inputs!F4+C14))</f>
        <v>0.75</v>
      </c>
      <c r="H14" s="10" t="n">
        <f aca="false">MAX(0.05,MIN(0.99,Inputs!G4-C14))</f>
        <v>0.5</v>
      </c>
      <c r="I14" s="6" t="n">
        <f aca="false">Inputs!H4</f>
        <v>0.85</v>
      </c>
      <c r="J14" s="7" t="n">
        <f aca="false">Inputs!J4</f>
        <v>9.3</v>
      </c>
      <c r="K14" s="10" t="n">
        <f aca="false">MAX(0.05,MIN(0.99,Inputs!K4-C14))</f>
        <v>0.9</v>
      </c>
      <c r="L14" s="10" t="n">
        <f aca="false">MAX(0.05,MIN(0.99,Inputs!L4-C14))</f>
        <v>0.85</v>
      </c>
      <c r="M14" s="9" t="n">
        <f aca="false">D14*E14*J14*((F14+G14)/2)*I14/H14*Parameters!$B$5</f>
        <v>3201.525</v>
      </c>
      <c r="N14" s="9" t="n">
        <f aca="false">D14*E14*J14*Parameters!$B$4*I14/H14*Parameters!$B$5</f>
        <v>1600.7625</v>
      </c>
      <c r="O14" s="9" t="n">
        <f aca="false">M14-M14*K14*L14</f>
        <v>752.358375</v>
      </c>
      <c r="P14" s="10" t="n">
        <f aca="false">O14/N14</f>
        <v>0.47</v>
      </c>
      <c r="Q14" s="12" t="str">
        <f aca="false">IF(P14&lt;Parameters!$B$6,"Below tolerance",IF(P14&lt;=Parameters!$B$7,"Approximately at tolerance","Above tolerance"))</f>
        <v>Below tolerance</v>
      </c>
    </row>
    <row r="15" customFormat="false" ht="15" hidden="false" customHeight="false" outlineLevel="0" collapsed="false">
      <c r="A15" s="12" t="s">
        <v>73</v>
      </c>
      <c r="B15" s="12" t="s">
        <v>207</v>
      </c>
      <c r="C15" s="10" t="n">
        <f aca="false">0*Parameters!$B$9</f>
        <v>0</v>
      </c>
      <c r="D15" s="10" t="n">
        <f aca="false">MAX(0.05,MIN(0.99,Inputs!C4+C15))</f>
        <v>0.85</v>
      </c>
      <c r="E15" s="10" t="n">
        <f aca="false">MAX(0.05,MIN(0.99,Inputs!D4+C15))</f>
        <v>0.55</v>
      </c>
      <c r="F15" s="10" t="n">
        <f aca="false">MAX(0.05,MIN(0.99,Inputs!E4+C15))</f>
        <v>0.55</v>
      </c>
      <c r="G15" s="10" t="n">
        <f aca="false">MAX(0.05,MIN(0.99,Inputs!F4+C15))</f>
        <v>0.85</v>
      </c>
      <c r="H15" s="10" t="n">
        <f aca="false">MAX(0.05,MIN(0.99,Inputs!G4-C15))</f>
        <v>0.4</v>
      </c>
      <c r="I15" s="6" t="n">
        <f aca="false">Inputs!H4</f>
        <v>0.85</v>
      </c>
      <c r="J15" s="7" t="n">
        <f aca="false">Inputs!J4</f>
        <v>9.3</v>
      </c>
      <c r="K15" s="10" t="n">
        <f aca="false">MAX(0.05,MIN(0.99,Inputs!K4-C15))</f>
        <v>0.8</v>
      </c>
      <c r="L15" s="10" t="n">
        <f aca="false">MAX(0.05,MIN(0.99,Inputs!L4-C15))</f>
        <v>0.75</v>
      </c>
      <c r="M15" s="9" t="n">
        <f aca="false">D15*E15*J15*((F15+G15)/2)*I15/H15*Parameters!$B$5</f>
        <v>6467.278125</v>
      </c>
      <c r="N15" s="9" t="n">
        <f aca="false">D15*E15*J15*Parameters!$B$4*I15/H15*Parameters!$B$5</f>
        <v>2771.690625</v>
      </c>
      <c r="O15" s="9" t="n">
        <f aca="false">M15-M15*K15*L15</f>
        <v>2586.91125</v>
      </c>
      <c r="P15" s="10" t="n">
        <f aca="false">O15/N15</f>
        <v>0.933333333333333</v>
      </c>
      <c r="Q15" s="12" t="str">
        <f aca="false">IF(P15&lt;Parameters!$B$6,"Below tolerance",IF(P15&lt;=Parameters!$B$7,"Approximately at tolerance","Above tolerance"))</f>
        <v>Approximately at tolerance</v>
      </c>
    </row>
    <row r="16" customFormat="false" ht="15" hidden="false" customHeight="false" outlineLevel="0" collapsed="false">
      <c r="A16" s="12" t="s">
        <v>73</v>
      </c>
      <c r="B16" s="12" t="s">
        <v>208</v>
      </c>
      <c r="C16" s="10" t="n">
        <f aca="false">1*Parameters!$B$9</f>
        <v>0.1</v>
      </c>
      <c r="D16" s="10" t="n">
        <f aca="false">MAX(0.05,MIN(0.99,Inputs!C4+C16))</f>
        <v>0.95</v>
      </c>
      <c r="E16" s="10" t="n">
        <f aca="false">MAX(0.05,MIN(0.99,Inputs!D4+C16))</f>
        <v>0.65</v>
      </c>
      <c r="F16" s="10" t="n">
        <f aca="false">MAX(0.05,MIN(0.99,Inputs!E4+C16))</f>
        <v>0.65</v>
      </c>
      <c r="G16" s="10" t="n">
        <f aca="false">MAX(0.05,MIN(0.99,Inputs!F4+C16))</f>
        <v>0.95</v>
      </c>
      <c r="H16" s="10" t="n">
        <f aca="false">MAX(0.05,MIN(0.99,Inputs!G4-C16))</f>
        <v>0.3</v>
      </c>
      <c r="I16" s="6" t="n">
        <f aca="false">Inputs!H4</f>
        <v>0.85</v>
      </c>
      <c r="J16" s="7" t="n">
        <f aca="false">Inputs!J4</f>
        <v>9.3</v>
      </c>
      <c r="K16" s="10" t="n">
        <f aca="false">MAX(0.05,MIN(0.99,Inputs!K4-C16))</f>
        <v>0.7</v>
      </c>
      <c r="L16" s="10" t="n">
        <f aca="false">MAX(0.05,MIN(0.99,Inputs!L4-C16))</f>
        <v>0.65</v>
      </c>
      <c r="M16" s="9" t="n">
        <f aca="false">D16*E16*J16*((F16+G16)/2)*I16/H16*Parameters!$B$5</f>
        <v>13016.9</v>
      </c>
      <c r="N16" s="9" t="n">
        <f aca="false">D16*E16*J16*Parameters!$B$4*I16/H16*Parameters!$B$5</f>
        <v>4881.3375</v>
      </c>
      <c r="O16" s="9" t="n">
        <f aca="false">M16-M16*K16*L16</f>
        <v>7094.2105</v>
      </c>
      <c r="P16" s="10" t="n">
        <f aca="false">O16/N16</f>
        <v>1.45333333333333</v>
      </c>
      <c r="Q16" s="12" t="str">
        <f aca="false">IF(P16&lt;Parameters!$B$6,"Below tolerance",IF(P16&lt;=Parameters!$B$7,"Approximately at tolerance","Above tolerance"))</f>
        <v>Above tolerance</v>
      </c>
    </row>
    <row r="17" customFormat="false" ht="15" hidden="false" customHeight="false" outlineLevel="0" collapsed="false">
      <c r="A17" s="12" t="s">
        <v>97</v>
      </c>
      <c r="B17" s="12" t="s">
        <v>206</v>
      </c>
      <c r="C17" s="10" t="n">
        <f aca="false">-1*Parameters!$B$9</f>
        <v>-0.1</v>
      </c>
      <c r="D17" s="10" t="n">
        <f aca="false">MAX(0.05,MIN(0.99,Inputs!C11+C17))</f>
        <v>0.7</v>
      </c>
      <c r="E17" s="10" t="n">
        <f aca="false">MAX(0.05,MIN(0.99,Inputs!D11+C17))</f>
        <v>0.5</v>
      </c>
      <c r="F17" s="10" t="n">
        <f aca="false">MAX(0.05,MIN(0.99,Inputs!E11+C17))</f>
        <v>0.5</v>
      </c>
      <c r="G17" s="10" t="n">
        <f aca="false">MAX(0.05,MIN(0.99,Inputs!F11+C17))</f>
        <v>0.8</v>
      </c>
      <c r="H17" s="10" t="n">
        <f aca="false">MAX(0.05,MIN(0.99,Inputs!G11-C17))</f>
        <v>0.4</v>
      </c>
      <c r="I17" s="6" t="n">
        <f aca="false">Inputs!H11</f>
        <v>0.85</v>
      </c>
      <c r="J17" s="7" t="n">
        <f aca="false">Inputs!J11</f>
        <v>9.2</v>
      </c>
      <c r="K17" s="10" t="n">
        <f aca="false">MAX(0.05,MIN(0.99,Inputs!K11-C17))</f>
        <v>0.8</v>
      </c>
      <c r="L17" s="10" t="n">
        <f aca="false">MAX(0.05,MIN(0.99,Inputs!L11-C17))</f>
        <v>0.9</v>
      </c>
      <c r="M17" s="9" t="n">
        <f aca="false">D17*E17*J17*((F17+G17)/2)*I17/H17*Parameters!$B$5</f>
        <v>4447.625</v>
      </c>
      <c r="N17" s="9" t="n">
        <f aca="false">D17*E17*J17*Parameters!$B$4*I17/H17*Parameters!$B$5</f>
        <v>2052.75</v>
      </c>
      <c r="O17" s="9" t="n">
        <f aca="false">M17-M17*K17*L17</f>
        <v>1245.335</v>
      </c>
      <c r="P17" s="10" t="n">
        <f aca="false">O17/N17</f>
        <v>0.606666666666667</v>
      </c>
      <c r="Q17" s="12" t="str">
        <f aca="false">IF(P17&lt;Parameters!$B$6,"Below tolerance",IF(P17&lt;=Parameters!$B$7,"Approximately at tolerance","Above tolerance"))</f>
        <v>Below tolerance</v>
      </c>
    </row>
    <row r="18" customFormat="false" ht="15" hidden="false" customHeight="false" outlineLevel="0" collapsed="false">
      <c r="A18" s="12" t="s">
        <v>97</v>
      </c>
      <c r="B18" s="12" t="s">
        <v>207</v>
      </c>
      <c r="C18" s="10" t="n">
        <f aca="false">0*Parameters!$B$9</f>
        <v>0</v>
      </c>
      <c r="D18" s="10" t="n">
        <f aca="false">MAX(0.05,MIN(0.99,Inputs!C11+C18))</f>
        <v>0.8</v>
      </c>
      <c r="E18" s="10" t="n">
        <f aca="false">MAX(0.05,MIN(0.99,Inputs!D11+C18))</f>
        <v>0.6</v>
      </c>
      <c r="F18" s="10" t="n">
        <f aca="false">MAX(0.05,MIN(0.99,Inputs!E11+C18))</f>
        <v>0.6</v>
      </c>
      <c r="G18" s="10" t="n">
        <f aca="false">MAX(0.05,MIN(0.99,Inputs!F11+C18))</f>
        <v>0.9</v>
      </c>
      <c r="H18" s="10" t="n">
        <f aca="false">MAX(0.05,MIN(0.99,Inputs!G11-C18))</f>
        <v>0.3</v>
      </c>
      <c r="I18" s="6" t="n">
        <f aca="false">Inputs!H11</f>
        <v>0.85</v>
      </c>
      <c r="J18" s="7" t="n">
        <f aca="false">Inputs!J11</f>
        <v>9.2</v>
      </c>
      <c r="K18" s="10" t="n">
        <f aca="false">MAX(0.05,MIN(0.99,Inputs!K11-C18))</f>
        <v>0.7</v>
      </c>
      <c r="L18" s="10" t="n">
        <f aca="false">MAX(0.05,MIN(0.99,Inputs!L11-C18))</f>
        <v>0.8</v>
      </c>
      <c r="M18" s="9" t="n">
        <f aca="false">D18*E18*J18*((F18+G18)/2)*I18/H18*Parameters!$B$5</f>
        <v>9384</v>
      </c>
      <c r="N18" s="9" t="n">
        <f aca="false">D18*E18*J18*Parameters!$B$4*I18/H18*Parameters!$B$5</f>
        <v>3753.6</v>
      </c>
      <c r="O18" s="9" t="n">
        <f aca="false">M18-M18*K18*L18</f>
        <v>4128.96</v>
      </c>
      <c r="P18" s="10" t="n">
        <f aca="false">O18/N18</f>
        <v>1.1</v>
      </c>
      <c r="Q18" s="12" t="str">
        <f aca="false">IF(P18&lt;Parameters!$B$6,"Below tolerance",IF(P18&lt;=Parameters!$B$7,"Approximately at tolerance","Above tolerance"))</f>
        <v>Approximately at tolerance</v>
      </c>
    </row>
    <row r="19" customFormat="false" ht="15" hidden="false" customHeight="false" outlineLevel="0" collapsed="false">
      <c r="A19" s="12" t="s">
        <v>97</v>
      </c>
      <c r="B19" s="12" t="s">
        <v>208</v>
      </c>
      <c r="C19" s="10" t="n">
        <f aca="false">1*Parameters!$B$9</f>
        <v>0.1</v>
      </c>
      <c r="D19" s="10" t="n">
        <f aca="false">MAX(0.05,MIN(0.99,Inputs!C11+C19))</f>
        <v>0.9</v>
      </c>
      <c r="E19" s="10" t="n">
        <f aca="false">MAX(0.05,MIN(0.99,Inputs!D11+C19))</f>
        <v>0.7</v>
      </c>
      <c r="F19" s="10" t="n">
        <f aca="false">MAX(0.05,MIN(0.99,Inputs!E11+C19))</f>
        <v>0.7</v>
      </c>
      <c r="G19" s="10" t="n">
        <f aca="false">MAX(0.05,MIN(0.99,Inputs!F11+C19))</f>
        <v>0.99</v>
      </c>
      <c r="H19" s="10" t="n">
        <f aca="false">MAX(0.05,MIN(0.99,Inputs!G11-C19))</f>
        <v>0.2</v>
      </c>
      <c r="I19" s="6" t="n">
        <f aca="false">Inputs!H11</f>
        <v>0.85</v>
      </c>
      <c r="J19" s="7" t="n">
        <f aca="false">Inputs!J11</f>
        <v>9.2</v>
      </c>
      <c r="K19" s="10" t="n">
        <f aca="false">MAX(0.05,MIN(0.99,Inputs!K11-C19))</f>
        <v>0.6</v>
      </c>
      <c r="L19" s="10" t="n">
        <f aca="false">MAX(0.05,MIN(0.99,Inputs!L11-C19))</f>
        <v>0.7</v>
      </c>
      <c r="M19" s="9" t="n">
        <f aca="false">D19*E19*J19*((F19+G19)/2)*I19/H19*Parameters!$B$5</f>
        <v>20814.885</v>
      </c>
      <c r="N19" s="9" t="n">
        <f aca="false">D19*E19*J19*Parameters!$B$4*I19/H19*Parameters!$B$5</f>
        <v>7389.9</v>
      </c>
      <c r="O19" s="9" t="n">
        <f aca="false">M19-M19*K19*L19</f>
        <v>12072.6333</v>
      </c>
      <c r="P19" s="10" t="n">
        <f aca="false">O19/N19</f>
        <v>1.63366666666667</v>
      </c>
      <c r="Q19" s="12" t="str">
        <f aca="false">IF(P19&lt;Parameters!$B$6,"Below tolerance",IF(P19&lt;=Parameters!$B$7,"Approximately at tolerance","Above tolerance"))</f>
        <v>Above tolerance</v>
      </c>
    </row>
    <row r="21" customFormat="false" ht="15" hidden="false" customHeight="false" outlineLevel="0" collapsed="false">
      <c r="A21" s="27" t="s">
        <v>209</v>
      </c>
    </row>
    <row r="22" customFormat="false" ht="23.85" hidden="false" customHeight="false" outlineLevel="0" collapsed="false">
      <c r="A22" s="3" t="s">
        <v>22</v>
      </c>
      <c r="B22" s="3" t="s">
        <v>210</v>
      </c>
      <c r="C22" s="3" t="s">
        <v>211</v>
      </c>
      <c r="D22" s="3" t="s">
        <v>212</v>
      </c>
    </row>
    <row r="23" customFormat="false" ht="15" hidden="false" customHeight="false" outlineLevel="0" collapsed="false">
      <c r="A23" s="12" t="s">
        <v>73</v>
      </c>
      <c r="B23" s="10" t="n">
        <f aca="false">Analyse!S5/(Analyse!M5/Analyse!J5*0.2)</f>
        <v>1.4</v>
      </c>
      <c r="C23" s="10" t="n">
        <f aca="false">Analyse!S5/(Analyse!M5/Analyse!J5*0.3)</f>
        <v>0.933333333333333</v>
      </c>
      <c r="D23" s="10" t="n">
        <f aca="false">Analyse!S5/(Analyse!M5/Analyse!J5*0.4)</f>
        <v>0.7</v>
      </c>
    </row>
    <row r="24" customFormat="false" ht="15" hidden="false" customHeight="false" outlineLevel="0" collapsed="false">
      <c r="A24" s="12" t="s">
        <v>79</v>
      </c>
      <c r="B24" s="10" t="n">
        <f aca="false">Analyse!S6/(Analyse!M6/Analyse!J6*0.2)</f>
        <v>1.8046875</v>
      </c>
      <c r="C24" s="10" t="n">
        <f aca="false">Analyse!S6/(Analyse!M6/Analyse!J6*0.3)</f>
        <v>1.203125</v>
      </c>
      <c r="D24" s="10" t="n">
        <f aca="false">Analyse!S6/(Analyse!M6/Analyse!J6*0.4)</f>
        <v>0.90234375</v>
      </c>
    </row>
    <row r="25" customFormat="false" ht="15" hidden="false" customHeight="false" outlineLevel="0" collapsed="false">
      <c r="A25" s="12" t="s">
        <v>82</v>
      </c>
      <c r="B25" s="10" t="n">
        <f aca="false">Analyse!S7/(Analyse!M7/Analyse!J7*0.2)</f>
        <v>1.2</v>
      </c>
      <c r="C25" s="10" t="n">
        <f aca="false">Analyse!S7/(Analyse!M7/Analyse!J7*0.3)</f>
        <v>0.8</v>
      </c>
      <c r="D25" s="10" t="n">
        <f aca="false">Analyse!S7/(Analyse!M7/Analyse!J7*0.4)</f>
        <v>0.6</v>
      </c>
    </row>
    <row r="26" customFormat="false" ht="15" hidden="false" customHeight="false" outlineLevel="0" collapsed="false">
      <c r="A26" s="12" t="s">
        <v>85</v>
      </c>
      <c r="B26" s="10" t="n">
        <f aca="false">Analyse!S8/(Analyse!M8/Analyse!J8*0.2)</f>
        <v>1.366875</v>
      </c>
      <c r="C26" s="10" t="n">
        <f aca="false">Analyse!S8/(Analyse!M8/Analyse!J8*0.3)</f>
        <v>0.91125</v>
      </c>
      <c r="D26" s="10" t="n">
        <f aca="false">Analyse!S8/(Analyse!M8/Analyse!J8*0.4)</f>
        <v>0.6834375</v>
      </c>
    </row>
    <row r="27" customFormat="false" ht="15" hidden="false" customHeight="false" outlineLevel="0" collapsed="false">
      <c r="A27" s="12" t="s">
        <v>88</v>
      </c>
      <c r="B27" s="10" t="n">
        <f aca="false">Analyse!S9/(Analyse!M9/Analyse!J9*0.2)</f>
        <v>1.83</v>
      </c>
      <c r="C27" s="10" t="n">
        <f aca="false">Analyse!S9/(Analyse!M9/Analyse!J9*0.3)</f>
        <v>1.22</v>
      </c>
      <c r="D27" s="10" t="n">
        <f aca="false">Analyse!S9/(Analyse!M9/Analyse!J9*0.4)</f>
        <v>0.915</v>
      </c>
    </row>
    <row r="28" customFormat="false" ht="15" hidden="false" customHeight="false" outlineLevel="0" collapsed="false">
      <c r="A28" s="12" t="s">
        <v>91</v>
      </c>
      <c r="B28" s="10" t="n">
        <f aca="false">Analyse!S10/(Analyse!M10/Analyse!J10*0.2)</f>
        <v>1.51875</v>
      </c>
      <c r="C28" s="10" t="n">
        <f aca="false">Analyse!S10/(Analyse!M10/Analyse!J10*0.3)</f>
        <v>1.0125</v>
      </c>
      <c r="D28" s="10" t="n">
        <f aca="false">Analyse!S10/(Analyse!M10/Analyse!J10*0.4)</f>
        <v>0.759375</v>
      </c>
    </row>
    <row r="29" customFormat="false" ht="15" hidden="false" customHeight="false" outlineLevel="0" collapsed="false">
      <c r="A29" s="12" t="s">
        <v>94</v>
      </c>
      <c r="B29" s="10" t="n">
        <f aca="false">Analyse!S11/(Analyse!M11/Analyse!J11*0.2)</f>
        <v>2.175</v>
      </c>
      <c r="C29" s="10" t="n">
        <f aca="false">Analyse!S11/(Analyse!M11/Analyse!J11*0.3)</f>
        <v>1.45</v>
      </c>
      <c r="D29" s="10" t="n">
        <f aca="false">Analyse!S11/(Analyse!M11/Analyse!J11*0.4)</f>
        <v>1.0875</v>
      </c>
    </row>
    <row r="30" customFormat="false" ht="15" hidden="false" customHeight="false" outlineLevel="0" collapsed="false">
      <c r="A30" s="12" t="s">
        <v>97</v>
      </c>
      <c r="B30" s="10" t="n">
        <f aca="false">Analyse!S12/(Analyse!M12/Analyse!J12*0.2)</f>
        <v>1.65</v>
      </c>
      <c r="C30" s="10" t="n">
        <f aca="false">Analyse!S12/(Analyse!M12/Analyse!J12*0.3)</f>
        <v>1.1</v>
      </c>
      <c r="D30" s="10" t="n">
        <f aca="false">Analyse!S12/(Analyse!M12/Analyse!J12*0.4)</f>
        <v>0.825</v>
      </c>
    </row>
    <row r="31" customFormat="false" ht="15" hidden="false" customHeight="false" outlineLevel="0" collapsed="false">
      <c r="A31" s="12" t="s">
        <v>100</v>
      </c>
      <c r="B31" s="10" t="n">
        <f aca="false">Analyse!S13/(Analyse!M13/Analyse!J13*0.2)</f>
        <v>2.30625</v>
      </c>
      <c r="C31" s="10" t="n">
        <f aca="false">Analyse!S13/(Analyse!M13/Analyse!J13*0.3)</f>
        <v>1.5375</v>
      </c>
      <c r="D31" s="10" t="n">
        <f aca="false">Analyse!S13/(Analyse!M13/Analyse!J13*0.4)</f>
        <v>1.153125</v>
      </c>
    </row>
    <row r="32" customFormat="false" ht="15" hidden="false" customHeight="false" outlineLevel="0" collapsed="false">
      <c r="A32" s="12" t="s">
        <v>103</v>
      </c>
      <c r="B32" s="10" t="n">
        <f aca="false">Analyse!S14/(Analyse!M14/Analyse!J14*0.2)</f>
        <v>1.78125</v>
      </c>
      <c r="C32" s="10" t="n">
        <f aca="false">Analyse!S14/(Analyse!M14/Analyse!J14*0.3)</f>
        <v>1.1875</v>
      </c>
      <c r="D32" s="10" t="n">
        <f aca="false">Analyse!S14/(Analyse!M14/Analyse!J14*0.4)</f>
        <v>0.890625</v>
      </c>
    </row>
  </sheetData>
  <conditionalFormatting sqref="P5:P19">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4" min="2" style="0" width="7"/>
    <col collapsed="false" customWidth="true" hidden="false" outlineLevel="0" max="5" min="5" style="0" width="9"/>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1"/>
    <col collapsed="false" customWidth="true" hidden="false" outlineLevel="0" max="10" min="10" style="0" width="28"/>
  </cols>
  <sheetData>
    <row r="1" customFormat="false" ht="17.35" hidden="false" customHeight="false" outlineLevel="0" collapsed="false">
      <c r="A1" s="1" t="s">
        <v>213</v>
      </c>
    </row>
    <row r="2" customFormat="false" ht="15" hidden="false" customHeight="false" outlineLevel="0" collapsed="false">
      <c r="A2" s="2" t="s">
        <v>214</v>
      </c>
    </row>
    <row r="4" customFormat="false" ht="23.85" hidden="false" customHeight="false" outlineLevel="0" collapsed="false">
      <c r="A4" s="3" t="s">
        <v>22</v>
      </c>
      <c r="B4" s="3" t="s">
        <v>215</v>
      </c>
      <c r="C4" s="3" t="s">
        <v>216</v>
      </c>
      <c r="D4" s="3" t="s">
        <v>217</v>
      </c>
      <c r="E4" s="3" t="s">
        <v>218</v>
      </c>
      <c r="F4" s="3" t="s">
        <v>219</v>
      </c>
      <c r="G4" s="3" t="s">
        <v>220</v>
      </c>
      <c r="H4" s="3" t="s">
        <v>221</v>
      </c>
      <c r="I4" s="3" t="s">
        <v>220</v>
      </c>
      <c r="J4" s="3" t="s">
        <v>222</v>
      </c>
    </row>
    <row r="5" customFormat="false" ht="15" hidden="false" customHeight="false" outlineLevel="0" collapsed="false">
      <c r="A5" s="12" t="s">
        <v>73</v>
      </c>
      <c r="B5" s="6" t="n">
        <f aca="false">Inputs!C4</f>
        <v>0.85</v>
      </c>
      <c r="C5" s="6" t="n">
        <f aca="false">Inputs!D4</f>
        <v>0.55</v>
      </c>
      <c r="D5" s="10" t="n">
        <f aca="false">(Inputs!E4+Inputs!F4)/2</f>
        <v>0.7</v>
      </c>
      <c r="E5" s="6" t="n">
        <f aca="false">Inputs!G4</f>
        <v>0.4</v>
      </c>
      <c r="F5" s="28" t="n">
        <f aca="false">B5*C5*D5*(1-E5)</f>
        <v>0.19635</v>
      </c>
      <c r="G5" s="12" t="str">
        <f aca="false">IF(F5&lt;=0.07,"Low",IF(F5&lt;=0.15,"Moderate",IF(F5&lt;=0.25,"High","Critical")))</f>
        <v>High</v>
      </c>
      <c r="H5" s="28" t="n">
        <f aca="false">F5*(1-Inputs!K4*Inputs!L4)</f>
        <v>0.07854</v>
      </c>
      <c r="I5" s="12" t="str">
        <f aca="false">IF(H5&lt;=0.07,"Low",IF(H5&lt;=0.15,"Moderate",IF(H5&lt;=0.25,"High","Critical")))</f>
        <v>Moderate</v>
      </c>
      <c r="J5" s="12" t="str">
        <f aca="false">IF(H5&gt;Parameters!$B$11,"Board / ownership group",IF(H5&gt;Parameters!$B$10,"Executive leadership","CIO / Cybersecurity lead"))</f>
        <v>CIO / Cybersecurity lead</v>
      </c>
    </row>
    <row r="6" customFormat="false" ht="15" hidden="false" customHeight="false" outlineLevel="0" collapsed="false">
      <c r="A6" s="12" t="s">
        <v>79</v>
      </c>
      <c r="B6" s="6" t="n">
        <f aca="false">Inputs!C5</f>
        <v>0.75</v>
      </c>
      <c r="C6" s="6" t="n">
        <f aca="false">Inputs!D5</f>
        <v>0.5</v>
      </c>
      <c r="D6" s="10" t="n">
        <f aca="false">(Inputs!E5+Inputs!F5)/2</f>
        <v>0.825</v>
      </c>
      <c r="E6" s="6" t="n">
        <f aca="false">Inputs!G5</f>
        <v>0.35</v>
      </c>
      <c r="F6" s="28" t="n">
        <f aca="false">B6*C6*D6*(1-E6)</f>
        <v>0.20109375</v>
      </c>
      <c r="G6" s="12" t="str">
        <f aca="false">IF(F6&lt;=0.07,"Low",IF(F6&lt;=0.15,"Moderate",IF(F6&lt;=0.25,"High","Critical")))</f>
        <v>High</v>
      </c>
      <c r="H6" s="28" t="n">
        <f aca="false">F6*(1-Inputs!K5*Inputs!L5)</f>
        <v>0.087978515625</v>
      </c>
      <c r="I6" s="12" t="str">
        <f aca="false">IF(H6&lt;=0.07,"Low",IF(H6&lt;=0.15,"Moderate",IF(H6&lt;=0.25,"High","Critical")))</f>
        <v>Moderate</v>
      </c>
      <c r="J6" s="12" t="str">
        <f aca="false">IF(H6&gt;Parameters!$B$11,"Board / ownership group",IF(H6&gt;Parameters!$B$10,"Executive leadership","CIO / Cybersecurity lead"))</f>
        <v>CIO / Cybersecurity lead</v>
      </c>
    </row>
    <row r="7" customFormat="false" ht="15" hidden="false" customHeight="false" outlineLevel="0" collapsed="false">
      <c r="A7" s="12" t="s">
        <v>82</v>
      </c>
      <c r="B7" s="6" t="n">
        <f aca="false">Inputs!C6</f>
        <v>0.55</v>
      </c>
      <c r="C7" s="6" t="n">
        <f aca="false">Inputs!D6</f>
        <v>0.5</v>
      </c>
      <c r="D7" s="10" t="n">
        <f aca="false">(Inputs!E6+Inputs!F6)/2</f>
        <v>0.75</v>
      </c>
      <c r="E7" s="6" t="n">
        <f aca="false">Inputs!G6</f>
        <v>0.35</v>
      </c>
      <c r="F7" s="28" t="n">
        <f aca="false">B7*C7*D7*(1-E7)</f>
        <v>0.1340625</v>
      </c>
      <c r="G7" s="12" t="str">
        <f aca="false">IF(F7&lt;=0.07,"Low",IF(F7&lt;=0.15,"Moderate",IF(F7&lt;=0.25,"High","Critical")))</f>
        <v>Moderate</v>
      </c>
      <c r="H7" s="28" t="n">
        <f aca="false">F7*(1-Inputs!K6*Inputs!L6)</f>
        <v>0.0429</v>
      </c>
      <c r="I7" s="12" t="str">
        <f aca="false">IF(H7&lt;=0.07,"Low",IF(H7&lt;=0.15,"Moderate",IF(H7&lt;=0.25,"High","Critical")))</f>
        <v>Low</v>
      </c>
      <c r="J7" s="12" t="str">
        <f aca="false">IF(H7&gt;Parameters!$B$11,"Board / ownership group",IF(H7&gt;Parameters!$B$10,"Executive leadership","CIO / Cybersecurity lead"))</f>
        <v>CIO / Cybersecurity lead</v>
      </c>
    </row>
    <row r="8" customFormat="false" ht="15" hidden="false" customHeight="false" outlineLevel="0" collapsed="false">
      <c r="A8" s="12" t="s">
        <v>85</v>
      </c>
      <c r="B8" s="6" t="n">
        <f aca="false">Inputs!C7</f>
        <v>0.6</v>
      </c>
      <c r="C8" s="6" t="n">
        <f aca="false">Inputs!D7</f>
        <v>0.45</v>
      </c>
      <c r="D8" s="10" t="n">
        <f aca="false">(Inputs!E7+Inputs!F7)/2</f>
        <v>0.675</v>
      </c>
      <c r="E8" s="6" t="n">
        <f aca="false">Inputs!G7</f>
        <v>0.4</v>
      </c>
      <c r="F8" s="28" t="n">
        <f aca="false">B8*C8*D8*(1-E8)</f>
        <v>0.10935</v>
      </c>
      <c r="G8" s="12" t="str">
        <f aca="false">IF(F8&lt;=0.07,"Low",IF(F8&lt;=0.15,"Moderate",IF(F8&lt;=0.25,"High","Critical")))</f>
        <v>Moderate</v>
      </c>
      <c r="H8" s="28" t="n">
        <f aca="false">F8*(1-Inputs!K7*Inputs!L7)</f>
        <v>0.04428675</v>
      </c>
      <c r="I8" s="12" t="str">
        <f aca="false">IF(H8&lt;=0.07,"Low",IF(H8&lt;=0.15,"Moderate",IF(H8&lt;=0.25,"High","Critical")))</f>
        <v>Low</v>
      </c>
      <c r="J8" s="12" t="str">
        <f aca="false">IF(H8&gt;Parameters!$B$11,"Board / ownership group",IF(H8&gt;Parameters!$B$10,"Executive leadership","CIO / Cybersecurity lead"))</f>
        <v>CIO / Cybersecurity lead</v>
      </c>
    </row>
    <row r="9" customFormat="false" ht="15" hidden="false" customHeight="false" outlineLevel="0" collapsed="false">
      <c r="A9" s="12" t="s">
        <v>88</v>
      </c>
      <c r="B9" s="6" t="n">
        <f aca="false">Inputs!C8</f>
        <v>0.6</v>
      </c>
      <c r="C9" s="6" t="n">
        <f aca="false">Inputs!D8</f>
        <v>0.55</v>
      </c>
      <c r="D9" s="10" t="n">
        <f aca="false">(Inputs!E8+Inputs!F8)/2</f>
        <v>0.6</v>
      </c>
      <c r="E9" s="6" t="n">
        <f aca="false">Inputs!G8</f>
        <v>0.4</v>
      </c>
      <c r="F9" s="28" t="n">
        <f aca="false">B9*C9*D9*(1-E9)</f>
        <v>0.1188</v>
      </c>
      <c r="G9" s="12" t="str">
        <f aca="false">IF(F9&lt;=0.07,"Low",IF(F9&lt;=0.15,"Moderate",IF(F9&lt;=0.25,"High","Critical")))</f>
        <v>Moderate</v>
      </c>
      <c r="H9" s="28" t="n">
        <f aca="false">F9*(1-Inputs!K8*Inputs!L8)</f>
        <v>0.072468</v>
      </c>
      <c r="I9" s="12" t="str">
        <f aca="false">IF(H9&lt;=0.07,"Low",IF(H9&lt;=0.15,"Moderate",IF(H9&lt;=0.25,"High","Critical")))</f>
        <v>Moderate</v>
      </c>
      <c r="J9" s="12" t="str">
        <f aca="false">IF(H9&gt;Parameters!$B$11,"Board / ownership group",IF(H9&gt;Parameters!$B$10,"Executive leadership","CIO / Cybersecurity lead"))</f>
        <v>CIO / Cybersecurity lead</v>
      </c>
    </row>
    <row r="10" customFormat="false" ht="15" hidden="false" customHeight="false" outlineLevel="0" collapsed="false">
      <c r="A10" s="12" t="s">
        <v>91</v>
      </c>
      <c r="B10" s="6" t="n">
        <f aca="false">Inputs!C9</f>
        <v>0.8</v>
      </c>
      <c r="C10" s="6" t="n">
        <f aca="false">Inputs!D9</f>
        <v>0.5</v>
      </c>
      <c r="D10" s="10" t="n">
        <f aca="false">(Inputs!E9+Inputs!F9)/2</f>
        <v>0.75</v>
      </c>
      <c r="E10" s="6" t="n">
        <f aca="false">Inputs!G9</f>
        <v>0.4</v>
      </c>
      <c r="F10" s="28" t="n">
        <f aca="false">B10*C10*D10*(1-E10)</f>
        <v>0.18</v>
      </c>
      <c r="G10" s="12" t="str">
        <f aca="false">IF(F10&lt;=0.07,"Low",IF(F10&lt;=0.15,"Moderate",IF(F10&lt;=0.25,"High","Critical")))</f>
        <v>High</v>
      </c>
      <c r="H10" s="28" t="n">
        <f aca="false">F10*(1-Inputs!K9*Inputs!L9)</f>
        <v>0.0729</v>
      </c>
      <c r="I10" s="12" t="str">
        <f aca="false">IF(H10&lt;=0.07,"Low",IF(H10&lt;=0.15,"Moderate",IF(H10&lt;=0.25,"High","Critical")))</f>
        <v>Moderate</v>
      </c>
      <c r="J10" s="12" t="str">
        <f aca="false">IF(H10&gt;Parameters!$B$11,"Board / ownership group",IF(H10&gt;Parameters!$B$10,"Executive leadership","CIO / Cybersecurity lead"))</f>
        <v>CIO / Cybersecurity lead</v>
      </c>
    </row>
    <row r="11" customFormat="false" ht="15" hidden="false" customHeight="false" outlineLevel="0" collapsed="false">
      <c r="A11" s="12" t="s">
        <v>94</v>
      </c>
      <c r="B11" s="6" t="n">
        <f aca="false">Inputs!C10</f>
        <v>0.45</v>
      </c>
      <c r="C11" s="6" t="n">
        <f aca="false">Inputs!D10</f>
        <v>0.5</v>
      </c>
      <c r="D11" s="10" t="n">
        <f aca="false">(Inputs!E10+Inputs!F10)/2</f>
        <v>0.75</v>
      </c>
      <c r="E11" s="6" t="n">
        <f aca="false">Inputs!G10</f>
        <v>0.35</v>
      </c>
      <c r="F11" s="28" t="n">
        <f aca="false">B11*C11*D11*(1-E11)</f>
        <v>0.1096875</v>
      </c>
      <c r="G11" s="12" t="str">
        <f aca="false">IF(F11&lt;=0.07,"Low",IF(F11&lt;=0.15,"Moderate",IF(F11&lt;=0.25,"High","Critical")))</f>
        <v>Moderate</v>
      </c>
      <c r="H11" s="28" t="n">
        <f aca="false">F11*(1-Inputs!K10*Inputs!L10)</f>
        <v>0.06361875</v>
      </c>
      <c r="I11" s="12" t="str">
        <f aca="false">IF(H11&lt;=0.07,"Low",IF(H11&lt;=0.15,"Moderate",IF(H11&lt;=0.25,"High","Critical")))</f>
        <v>Low</v>
      </c>
      <c r="J11" s="12" t="str">
        <f aca="false">IF(H11&gt;Parameters!$B$11,"Board / ownership group",IF(H11&gt;Parameters!$B$10,"Executive leadership","CIO / Cybersecurity lead"))</f>
        <v>CIO / Cybersecurity lead</v>
      </c>
    </row>
    <row r="12" customFormat="false" ht="15" hidden="false" customHeight="false" outlineLevel="0" collapsed="false">
      <c r="A12" s="12" t="s">
        <v>97</v>
      </c>
      <c r="B12" s="6" t="n">
        <f aca="false">Inputs!C11</f>
        <v>0.8</v>
      </c>
      <c r="C12" s="6" t="n">
        <f aca="false">Inputs!D11</f>
        <v>0.6</v>
      </c>
      <c r="D12" s="10" t="n">
        <f aca="false">(Inputs!E11+Inputs!F11)/2</f>
        <v>0.75</v>
      </c>
      <c r="E12" s="6" t="n">
        <f aca="false">Inputs!G11</f>
        <v>0.3</v>
      </c>
      <c r="F12" s="28" t="n">
        <f aca="false">B12*C12*D12*(1-E12)</f>
        <v>0.252</v>
      </c>
      <c r="G12" s="12" t="str">
        <f aca="false">IF(F12&lt;=0.07,"Low",IF(F12&lt;=0.15,"Moderate",IF(F12&lt;=0.25,"High","Critical")))</f>
        <v>Critical</v>
      </c>
      <c r="H12" s="28" t="n">
        <f aca="false">F12*(1-Inputs!K11*Inputs!L11)</f>
        <v>0.11088</v>
      </c>
      <c r="I12" s="12" t="str">
        <f aca="false">IF(H12&lt;=0.07,"Low",IF(H12&lt;=0.15,"Moderate",IF(H12&lt;=0.25,"High","Critical")))</f>
        <v>Moderate</v>
      </c>
      <c r="J12" s="12" t="str">
        <f aca="false">IF(H12&gt;Parameters!$B$11,"Board / ownership group",IF(H12&gt;Parameters!$B$10,"Executive leadership","CIO / Cybersecurity lead"))</f>
        <v>CIO / Cybersecurity lead</v>
      </c>
    </row>
    <row r="13" customFormat="false" ht="15" hidden="false" customHeight="false" outlineLevel="0" collapsed="false">
      <c r="A13" s="12" t="s">
        <v>100</v>
      </c>
      <c r="B13" s="6" t="n">
        <f aca="false">Inputs!C12</f>
        <v>0.55</v>
      </c>
      <c r="C13" s="6" t="n">
        <f aca="false">Inputs!D12</f>
        <v>0.45</v>
      </c>
      <c r="D13" s="10" t="n">
        <f aca="false">(Inputs!E12+Inputs!F12)/2</f>
        <v>0.75</v>
      </c>
      <c r="E13" s="6" t="n">
        <f aca="false">Inputs!G12</f>
        <v>0.35</v>
      </c>
      <c r="F13" s="28" t="n">
        <f aca="false">B13*C13*D13*(1-E13)</f>
        <v>0.12065625</v>
      </c>
      <c r="G13" s="12" t="str">
        <f aca="false">IF(F13&lt;=0.07,"Low",IF(F13&lt;=0.15,"Moderate",IF(F13&lt;=0.25,"High","Critical")))</f>
        <v>Moderate</v>
      </c>
      <c r="H13" s="28" t="n">
        <f aca="false">F13*(1-Inputs!K12*Inputs!L12)</f>
        <v>0.07420359375</v>
      </c>
      <c r="I13" s="12" t="str">
        <f aca="false">IF(H13&lt;=0.07,"Low",IF(H13&lt;=0.15,"Moderate",IF(H13&lt;=0.25,"High","Critical")))</f>
        <v>Moderate</v>
      </c>
      <c r="J13" s="12" t="str">
        <f aca="false">IF(H13&gt;Parameters!$B$11,"Board / ownership group",IF(H13&gt;Parameters!$B$10,"Executive leadership","CIO / Cybersecurity lead"))</f>
        <v>CIO / Cybersecurity lead</v>
      </c>
    </row>
    <row r="14" customFormat="false" ht="15" hidden="false" customHeight="false" outlineLevel="0" collapsed="false">
      <c r="A14" s="12" t="s">
        <v>103</v>
      </c>
      <c r="B14" s="6" t="n">
        <f aca="false">Inputs!C13</f>
        <v>0.3</v>
      </c>
      <c r="C14" s="6" t="n">
        <f aca="false">Inputs!D13</f>
        <v>0.4</v>
      </c>
      <c r="D14" s="10" t="n">
        <f aca="false">(Inputs!E13+Inputs!F13)/2</f>
        <v>0.75</v>
      </c>
      <c r="E14" s="6" t="n">
        <f aca="false">Inputs!G13</f>
        <v>0.4</v>
      </c>
      <c r="F14" s="28" t="n">
        <f aca="false">B14*C14*D14*(1-E14)</f>
        <v>0.054</v>
      </c>
      <c r="G14" s="12" t="str">
        <f aca="false">IF(F14&lt;=0.07,"Low",IF(F14&lt;=0.15,"Moderate",IF(F14&lt;=0.25,"High","Critical")))</f>
        <v>Low</v>
      </c>
      <c r="H14" s="28" t="n">
        <f aca="false">F14*(1-Inputs!K13*Inputs!L13)</f>
        <v>0.02565</v>
      </c>
      <c r="I14" s="12" t="str">
        <f aca="false">IF(H14&lt;=0.07,"Low",IF(H14&lt;=0.15,"Moderate",IF(H14&lt;=0.25,"High","Critical")))</f>
        <v>Low</v>
      </c>
      <c r="J14" s="12" t="str">
        <f aca="false">IF(H14&gt;Parameters!$B$11,"Board / ownership group",IF(H14&gt;Parameters!$B$10,"Executive leadership","CIO / Cybersecurity lead"))</f>
        <v>CIO / Cybersecurity lead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4"/>
    <col collapsed="false" customWidth="true" hidden="false" outlineLevel="0" max="4" min="4" style="0" width="70"/>
    <col collapsed="false" customWidth="true" hidden="false" outlineLevel="0" max="5" min="5" style="0" width="24"/>
    <col collapsed="false" customWidth="true" hidden="false" outlineLevel="0" max="6" min="6" style="0" width="50"/>
    <col collapsed="false" customWidth="true" hidden="false" outlineLevel="0" max="7" min="7" style="0" width="40"/>
    <col collapsed="false" customWidth="true" hidden="false" outlineLevel="0" max="8" min="8" style="0" width="50"/>
    <col collapsed="false" customWidth="true" hidden="false" outlineLevel="0" max="9" min="9" style="0" width="20"/>
    <col collapsed="false" customWidth="true" hidden="false" outlineLevel="0" max="10" min="10" style="0" width="22"/>
    <col collapsed="false" customWidth="true" hidden="false" outlineLevel="0" max="11" min="11" style="0" width="12"/>
    <col collapsed="false" customWidth="true" hidden="false" outlineLevel="0" max="12" min="12" style="0" width="60"/>
  </cols>
  <sheetData>
    <row r="1" customFormat="false" ht="15" hidden="false" customHeight="false" outlineLevel="0" collapsed="false">
      <c r="A1" s="3" t="s">
        <v>22</v>
      </c>
      <c r="B1" s="3" t="s">
        <v>223</v>
      </c>
      <c r="C1" s="3" t="s">
        <v>23</v>
      </c>
      <c r="D1" s="3" t="s">
        <v>224</v>
      </c>
      <c r="E1" s="3" t="s">
        <v>225</v>
      </c>
      <c r="F1" s="3" t="s">
        <v>226</v>
      </c>
      <c r="G1" s="3" t="s">
        <v>227</v>
      </c>
      <c r="H1" s="3" t="s">
        <v>228</v>
      </c>
      <c r="I1" s="3" t="s">
        <v>229</v>
      </c>
      <c r="J1" s="3" t="s">
        <v>230</v>
      </c>
      <c r="K1" s="3" t="s">
        <v>231</v>
      </c>
      <c r="L1" s="3" t="s">
        <v>232</v>
      </c>
    </row>
    <row r="2" customFormat="false" ht="79.85" hidden="false" customHeight="false" outlineLevel="0" collapsed="false">
      <c r="A2" s="19" t="s">
        <v>73</v>
      </c>
      <c r="B2" s="19" t="s">
        <v>233</v>
      </c>
      <c r="C2" s="19" t="s">
        <v>74</v>
      </c>
      <c r="D2" s="19" t="s">
        <v>234</v>
      </c>
      <c r="E2" s="19" t="s">
        <v>235</v>
      </c>
      <c r="F2" s="19" t="s">
        <v>236</v>
      </c>
      <c r="G2" s="19" t="s">
        <v>237</v>
      </c>
      <c r="H2" s="19" t="s">
        <v>238</v>
      </c>
      <c r="I2" s="19" t="s">
        <v>239</v>
      </c>
      <c r="J2" s="19" t="s">
        <v>240</v>
      </c>
      <c r="K2" s="19" t="s">
        <v>241</v>
      </c>
      <c r="L2" s="19" t="s">
        <v>242</v>
      </c>
    </row>
    <row r="3" customFormat="false" ht="91" hidden="false" customHeight="false" outlineLevel="0" collapsed="false">
      <c r="A3" s="19" t="s">
        <v>79</v>
      </c>
      <c r="B3" s="19" t="s">
        <v>243</v>
      </c>
      <c r="C3" s="19" t="s">
        <v>80</v>
      </c>
      <c r="D3" s="19" t="s">
        <v>244</v>
      </c>
      <c r="E3" s="19" t="s">
        <v>245</v>
      </c>
      <c r="F3" s="19" t="s">
        <v>246</v>
      </c>
      <c r="G3" s="19" t="s">
        <v>247</v>
      </c>
      <c r="H3" s="19" t="s">
        <v>248</v>
      </c>
      <c r="I3" s="19" t="s">
        <v>249</v>
      </c>
      <c r="J3" s="19" t="s">
        <v>250</v>
      </c>
      <c r="K3" s="19" t="s">
        <v>251</v>
      </c>
      <c r="L3" s="19" t="s">
        <v>252</v>
      </c>
    </row>
    <row r="4" customFormat="false" ht="46.25" hidden="false" customHeight="false" outlineLevel="0" collapsed="false">
      <c r="A4" s="19" t="s">
        <v>82</v>
      </c>
      <c r="B4" s="19" t="s">
        <v>253</v>
      </c>
      <c r="C4" s="19" t="s">
        <v>83</v>
      </c>
      <c r="D4" s="19" t="s">
        <v>254</v>
      </c>
      <c r="E4" s="19" t="s">
        <v>255</v>
      </c>
      <c r="F4" s="19" t="s">
        <v>256</v>
      </c>
      <c r="G4" s="19" t="s">
        <v>257</v>
      </c>
      <c r="H4" s="19" t="s">
        <v>258</v>
      </c>
      <c r="I4" s="19" t="s">
        <v>259</v>
      </c>
      <c r="J4" s="19" t="s">
        <v>240</v>
      </c>
      <c r="K4" s="19" t="s">
        <v>260</v>
      </c>
      <c r="L4" s="19" t="s">
        <v>261</v>
      </c>
    </row>
    <row r="5" customFormat="false" ht="46.25" hidden="false" customHeight="false" outlineLevel="0" collapsed="false">
      <c r="A5" s="19" t="s">
        <v>85</v>
      </c>
      <c r="B5" s="19" t="s">
        <v>262</v>
      </c>
      <c r="C5" s="19" t="s">
        <v>86</v>
      </c>
      <c r="D5" s="19" t="s">
        <v>263</v>
      </c>
      <c r="E5" s="19" t="s">
        <v>264</v>
      </c>
      <c r="F5" s="19" t="s">
        <v>265</v>
      </c>
      <c r="G5" s="19" t="s">
        <v>266</v>
      </c>
      <c r="H5" s="19" t="s">
        <v>267</v>
      </c>
      <c r="I5" s="19" t="s">
        <v>268</v>
      </c>
      <c r="J5" s="19" t="s">
        <v>269</v>
      </c>
      <c r="K5" s="19" t="s">
        <v>241</v>
      </c>
      <c r="L5" s="19" t="s">
        <v>270</v>
      </c>
    </row>
    <row r="6" customFormat="false" ht="46.25" hidden="false" customHeight="false" outlineLevel="0" collapsed="false">
      <c r="A6" s="19" t="s">
        <v>88</v>
      </c>
      <c r="B6" s="19" t="s">
        <v>271</v>
      </c>
      <c r="C6" s="19" t="s">
        <v>89</v>
      </c>
      <c r="D6" s="19" t="s">
        <v>272</v>
      </c>
      <c r="E6" s="19" t="s">
        <v>273</v>
      </c>
      <c r="F6" s="19" t="s">
        <v>274</v>
      </c>
      <c r="G6" s="19" t="s">
        <v>275</v>
      </c>
      <c r="H6" s="19" t="s">
        <v>276</v>
      </c>
      <c r="I6" s="19" t="s">
        <v>277</v>
      </c>
      <c r="J6" s="19" t="s">
        <v>278</v>
      </c>
      <c r="K6" s="19" t="s">
        <v>279</v>
      </c>
      <c r="L6" s="19" t="s">
        <v>280</v>
      </c>
    </row>
    <row r="7" customFormat="false" ht="46.25" hidden="false" customHeight="false" outlineLevel="0" collapsed="false">
      <c r="A7" s="19" t="s">
        <v>91</v>
      </c>
      <c r="B7" s="19" t="s">
        <v>281</v>
      </c>
      <c r="C7" s="19" t="s">
        <v>92</v>
      </c>
      <c r="D7" s="19" t="s">
        <v>282</v>
      </c>
      <c r="E7" s="19" t="s">
        <v>283</v>
      </c>
      <c r="F7" s="19" t="s">
        <v>284</v>
      </c>
      <c r="G7" s="19" t="s">
        <v>285</v>
      </c>
      <c r="H7" s="19" t="s">
        <v>286</v>
      </c>
      <c r="I7" s="19" t="s">
        <v>287</v>
      </c>
      <c r="J7" s="19" t="s">
        <v>240</v>
      </c>
      <c r="K7" s="19" t="s">
        <v>288</v>
      </c>
      <c r="L7" s="19" t="s">
        <v>289</v>
      </c>
    </row>
    <row r="8" customFormat="false" ht="57.45" hidden="false" customHeight="false" outlineLevel="0" collapsed="false">
      <c r="A8" s="19" t="s">
        <v>94</v>
      </c>
      <c r="B8" s="19" t="s">
        <v>290</v>
      </c>
      <c r="C8" s="19" t="s">
        <v>95</v>
      </c>
      <c r="D8" s="19" t="s">
        <v>291</v>
      </c>
      <c r="E8" s="19" t="s">
        <v>292</v>
      </c>
      <c r="F8" s="19" t="s">
        <v>293</v>
      </c>
      <c r="G8" s="19" t="s">
        <v>294</v>
      </c>
      <c r="H8" s="19" t="s">
        <v>295</v>
      </c>
      <c r="I8" s="19" t="s">
        <v>296</v>
      </c>
      <c r="J8" s="19" t="s">
        <v>297</v>
      </c>
      <c r="K8" s="19" t="s">
        <v>298</v>
      </c>
      <c r="L8" s="19" t="s">
        <v>299</v>
      </c>
    </row>
    <row r="9" customFormat="false" ht="68.65" hidden="false" customHeight="false" outlineLevel="0" collapsed="false">
      <c r="A9" s="19" t="s">
        <v>97</v>
      </c>
      <c r="B9" s="19" t="s">
        <v>300</v>
      </c>
      <c r="C9" s="19" t="s">
        <v>98</v>
      </c>
      <c r="D9" s="19" t="s">
        <v>301</v>
      </c>
      <c r="E9" s="19" t="s">
        <v>302</v>
      </c>
      <c r="F9" s="19" t="s">
        <v>303</v>
      </c>
      <c r="G9" s="19" t="s">
        <v>304</v>
      </c>
      <c r="H9" s="19" t="s">
        <v>305</v>
      </c>
      <c r="I9" s="19" t="s">
        <v>306</v>
      </c>
      <c r="J9" s="19" t="s">
        <v>129</v>
      </c>
      <c r="K9" s="19" t="s">
        <v>241</v>
      </c>
      <c r="L9" s="19" t="s">
        <v>307</v>
      </c>
    </row>
    <row r="10" customFormat="false" ht="57.45" hidden="false" customHeight="false" outlineLevel="0" collapsed="false">
      <c r="A10" s="19" t="s">
        <v>100</v>
      </c>
      <c r="B10" s="19" t="s">
        <v>308</v>
      </c>
      <c r="C10" s="19" t="s">
        <v>101</v>
      </c>
      <c r="D10" s="19" t="s">
        <v>309</v>
      </c>
      <c r="E10" s="19" t="s">
        <v>310</v>
      </c>
      <c r="F10" s="19" t="s">
        <v>311</v>
      </c>
      <c r="G10" s="19" t="s">
        <v>312</v>
      </c>
      <c r="H10" s="19" t="s">
        <v>313</v>
      </c>
      <c r="I10" s="19" t="s">
        <v>314</v>
      </c>
      <c r="J10" s="19" t="s">
        <v>315</v>
      </c>
      <c r="K10" s="19" t="s">
        <v>316</v>
      </c>
      <c r="L10" s="19" t="s">
        <v>317</v>
      </c>
    </row>
    <row r="11" customFormat="false" ht="46.25" hidden="false" customHeight="false" outlineLevel="0" collapsed="false">
      <c r="A11" s="19" t="s">
        <v>103</v>
      </c>
      <c r="B11" s="19" t="s">
        <v>318</v>
      </c>
      <c r="C11" s="19" t="s">
        <v>104</v>
      </c>
      <c r="D11" s="19" t="s">
        <v>319</v>
      </c>
      <c r="E11" s="19" t="s">
        <v>320</v>
      </c>
      <c r="F11" s="19" t="s">
        <v>321</v>
      </c>
      <c r="G11" s="19" t="s">
        <v>322</v>
      </c>
      <c r="H11" s="19" t="s">
        <v>323</v>
      </c>
      <c r="I11" s="19" t="s">
        <v>324</v>
      </c>
      <c r="J11" s="19" t="s">
        <v>325</v>
      </c>
      <c r="K11" s="19" t="s">
        <v>326</v>
      </c>
      <c r="L11" s="19"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22"/>
    <col collapsed="false" customWidth="true" hidden="false" outlineLevel="0" max="4" min="4" style="0" width="38"/>
    <col collapsed="false" customWidth="true" hidden="false" outlineLevel="0" max="5" min="5" style="0" width="14"/>
    <col collapsed="false" customWidth="true" hidden="false" outlineLevel="0" max="6" min="6" style="0" width="28"/>
    <col collapsed="false" customWidth="true" hidden="false" outlineLevel="0" max="7" min="7" style="0" width="14"/>
    <col collapsed="false" customWidth="true" hidden="false" outlineLevel="0" max="8" min="8" style="0" width="18"/>
    <col collapsed="false" customWidth="true" hidden="false" outlineLevel="0" max="9" min="9" style="0" width="50"/>
  </cols>
  <sheetData>
    <row r="1" customFormat="false" ht="15" hidden="false" customHeight="false" outlineLevel="0" collapsed="false">
      <c r="A1" s="3" t="s">
        <v>22</v>
      </c>
      <c r="B1" s="3" t="s">
        <v>328</v>
      </c>
      <c r="C1" s="3" t="s">
        <v>225</v>
      </c>
      <c r="D1" s="3" t="s">
        <v>329</v>
      </c>
      <c r="E1" s="3" t="s">
        <v>330</v>
      </c>
      <c r="F1" s="3" t="s">
        <v>331</v>
      </c>
      <c r="G1" s="3" t="s">
        <v>223</v>
      </c>
      <c r="H1" s="3" t="s">
        <v>332</v>
      </c>
      <c r="I1" s="3" t="s">
        <v>333</v>
      </c>
    </row>
    <row r="2" customFormat="false" ht="23.85" hidden="false" customHeight="false" outlineLevel="0" collapsed="false">
      <c r="A2" s="19" t="s">
        <v>334</v>
      </c>
      <c r="B2" s="19" t="s">
        <v>335</v>
      </c>
      <c r="C2" s="19" t="s">
        <v>336</v>
      </c>
      <c r="D2" s="19" t="s">
        <v>337</v>
      </c>
      <c r="E2" s="19" t="s">
        <v>338</v>
      </c>
      <c r="F2" s="19" t="s">
        <v>339</v>
      </c>
      <c r="G2" s="19" t="s">
        <v>340</v>
      </c>
      <c r="H2" s="19" t="s">
        <v>341</v>
      </c>
      <c r="I2" s="19" t="s">
        <v>342</v>
      </c>
    </row>
    <row r="3" customFormat="false" ht="23.85" hidden="false" customHeight="false" outlineLevel="0" collapsed="false">
      <c r="A3" s="19" t="s">
        <v>343</v>
      </c>
      <c r="B3" s="19" t="s">
        <v>344</v>
      </c>
      <c r="C3" s="19" t="s">
        <v>345</v>
      </c>
      <c r="D3" s="19" t="s">
        <v>346</v>
      </c>
      <c r="E3" s="19" t="s">
        <v>347</v>
      </c>
      <c r="F3" s="19" t="s">
        <v>348</v>
      </c>
      <c r="G3" s="19" t="s">
        <v>243</v>
      </c>
      <c r="H3" s="19" t="s">
        <v>349</v>
      </c>
      <c r="I3" s="19" t="s">
        <v>350</v>
      </c>
    </row>
    <row r="4" customFormat="false" ht="23.85" hidden="false" customHeight="false" outlineLevel="0" collapsed="false">
      <c r="A4" s="19" t="s">
        <v>351</v>
      </c>
      <c r="B4" s="19" t="s">
        <v>352</v>
      </c>
      <c r="C4" s="19" t="s">
        <v>353</v>
      </c>
      <c r="D4" s="19" t="s">
        <v>354</v>
      </c>
      <c r="E4" s="19" t="s">
        <v>355</v>
      </c>
      <c r="F4" s="19" t="s">
        <v>356</v>
      </c>
      <c r="G4" s="19" t="s">
        <v>253</v>
      </c>
      <c r="H4" s="19" t="s">
        <v>357</v>
      </c>
      <c r="I4" s="19" t="s">
        <v>358</v>
      </c>
    </row>
    <row r="5" customFormat="false" ht="23.85" hidden="false" customHeight="false" outlineLevel="0" collapsed="false">
      <c r="A5" s="19" t="s">
        <v>359</v>
      </c>
      <c r="B5" s="19" t="s">
        <v>360</v>
      </c>
      <c r="C5" s="19" t="s">
        <v>361</v>
      </c>
      <c r="D5" s="19" t="s">
        <v>362</v>
      </c>
      <c r="E5" s="19" t="s">
        <v>363</v>
      </c>
      <c r="F5" s="19" t="s">
        <v>364</v>
      </c>
      <c r="G5" s="19" t="s">
        <v>262</v>
      </c>
      <c r="H5" s="19" t="s">
        <v>365</v>
      </c>
      <c r="I5" s="19" t="s">
        <v>366</v>
      </c>
    </row>
    <row r="6" customFormat="false" ht="35.05" hidden="false" customHeight="false" outlineLevel="0" collapsed="false">
      <c r="A6" s="19" t="s">
        <v>367</v>
      </c>
      <c r="B6" s="19" t="s">
        <v>368</v>
      </c>
      <c r="C6" s="19" t="s">
        <v>369</v>
      </c>
      <c r="D6" s="19" t="s">
        <v>370</v>
      </c>
      <c r="E6" s="19" t="s">
        <v>371</v>
      </c>
      <c r="F6" s="19" t="s">
        <v>372</v>
      </c>
      <c r="G6" s="19" t="s">
        <v>373</v>
      </c>
      <c r="H6" s="19" t="s">
        <v>374</v>
      </c>
      <c r="I6" s="19" t="s">
        <v>375</v>
      </c>
    </row>
    <row r="7" customFormat="false" ht="23.85" hidden="false" customHeight="false" outlineLevel="0" collapsed="false">
      <c r="A7" s="19" t="s">
        <v>376</v>
      </c>
      <c r="B7" s="19" t="s">
        <v>377</v>
      </c>
      <c r="C7" s="19" t="s">
        <v>378</v>
      </c>
      <c r="D7" s="19" t="s">
        <v>379</v>
      </c>
      <c r="E7" s="19" t="s">
        <v>380</v>
      </c>
      <c r="F7" s="19" t="s">
        <v>381</v>
      </c>
      <c r="G7" s="19" t="s">
        <v>382</v>
      </c>
      <c r="H7" s="19" t="s">
        <v>383</v>
      </c>
      <c r="I7" s="19" t="s">
        <v>384</v>
      </c>
    </row>
    <row r="8" customFormat="false" ht="23.85" hidden="false" customHeight="false" outlineLevel="0" collapsed="false">
      <c r="A8" s="19" t="s">
        <v>385</v>
      </c>
      <c r="B8" s="19" t="s">
        <v>92</v>
      </c>
      <c r="C8" s="19" t="s">
        <v>386</v>
      </c>
      <c r="D8" s="19" t="s">
        <v>387</v>
      </c>
      <c r="E8" s="19" t="s">
        <v>388</v>
      </c>
      <c r="F8" s="19" t="s">
        <v>389</v>
      </c>
      <c r="G8" s="19" t="s">
        <v>281</v>
      </c>
      <c r="H8" s="19" t="s">
        <v>390</v>
      </c>
      <c r="I8" s="19" t="s">
        <v>391</v>
      </c>
    </row>
    <row r="9" customFormat="false" ht="23.85" hidden="false" customHeight="false" outlineLevel="0" collapsed="false">
      <c r="A9" s="19" t="s">
        <v>392</v>
      </c>
      <c r="B9" s="19" t="s">
        <v>393</v>
      </c>
      <c r="C9" s="19" t="s">
        <v>394</v>
      </c>
      <c r="D9" s="19" t="s">
        <v>395</v>
      </c>
      <c r="E9" s="19" t="s">
        <v>396</v>
      </c>
      <c r="F9" s="19" t="s">
        <v>397</v>
      </c>
      <c r="G9" s="19" t="s">
        <v>398</v>
      </c>
      <c r="H9" s="19" t="s">
        <v>399</v>
      </c>
      <c r="I9" s="19" t="s">
        <v>400</v>
      </c>
    </row>
    <row r="10" customFormat="false" ht="23.85" hidden="false" customHeight="false" outlineLevel="0" collapsed="false">
      <c r="A10" s="19" t="s">
        <v>401</v>
      </c>
      <c r="B10" s="19" t="s">
        <v>402</v>
      </c>
      <c r="C10" s="19" t="s">
        <v>336</v>
      </c>
      <c r="D10" s="19" t="s">
        <v>403</v>
      </c>
      <c r="E10" s="19" t="s">
        <v>404</v>
      </c>
      <c r="F10" s="19" t="s">
        <v>405</v>
      </c>
      <c r="G10" s="19" t="s">
        <v>406</v>
      </c>
      <c r="H10" s="19" t="s">
        <v>407</v>
      </c>
      <c r="I10" s="19" t="s">
        <v>408</v>
      </c>
    </row>
    <row r="11" customFormat="false" ht="23.85" hidden="false" customHeight="false" outlineLevel="0" collapsed="false">
      <c r="A11" s="19" t="s">
        <v>409</v>
      </c>
      <c r="B11" s="19" t="s">
        <v>410</v>
      </c>
      <c r="C11" s="19" t="s">
        <v>411</v>
      </c>
      <c r="D11" s="19" t="s">
        <v>412</v>
      </c>
      <c r="E11" s="19" t="s">
        <v>413</v>
      </c>
      <c r="F11" s="19" t="s">
        <v>414</v>
      </c>
      <c r="G11" s="19" t="s">
        <v>415</v>
      </c>
      <c r="H11" s="19" t="s">
        <v>374</v>
      </c>
      <c r="I11" s="19" t="s">
        <v>416</v>
      </c>
    </row>
    <row r="12" customFormat="false" ht="23.85" hidden="false" customHeight="false" outlineLevel="0" collapsed="false">
      <c r="A12" s="19" t="s">
        <v>417</v>
      </c>
      <c r="B12" s="19" t="s">
        <v>418</v>
      </c>
      <c r="C12" s="19" t="s">
        <v>419</v>
      </c>
      <c r="D12" s="19" t="s">
        <v>420</v>
      </c>
      <c r="E12" s="19" t="s">
        <v>421</v>
      </c>
      <c r="F12" s="19" t="s">
        <v>422</v>
      </c>
      <c r="G12" s="19" t="s">
        <v>423</v>
      </c>
      <c r="H12" s="19" t="s">
        <v>424</v>
      </c>
      <c r="I12" s="19" t="s">
        <v>425</v>
      </c>
    </row>
    <row r="13" customFormat="false" ht="23.85" hidden="false" customHeight="false" outlineLevel="0" collapsed="false">
      <c r="A13" s="19" t="s">
        <v>426</v>
      </c>
      <c r="B13" s="19" t="s">
        <v>427</v>
      </c>
      <c r="C13" s="19" t="s">
        <v>428</v>
      </c>
      <c r="D13" s="19" t="s">
        <v>429</v>
      </c>
      <c r="E13" s="19" t="s">
        <v>430</v>
      </c>
      <c r="F13" s="19" t="s">
        <v>431</v>
      </c>
      <c r="G13" s="19" t="s">
        <v>318</v>
      </c>
      <c r="H13" s="19" t="s">
        <v>432</v>
      </c>
      <c r="I13" s="19" t="s">
        <v>433</v>
      </c>
    </row>
    <row r="14" customFormat="false" ht="23.85" hidden="false" customHeight="false" outlineLevel="0" collapsed="false">
      <c r="A14" s="19" t="s">
        <v>434</v>
      </c>
      <c r="B14" s="19" t="s">
        <v>435</v>
      </c>
      <c r="C14" s="19" t="s">
        <v>436</v>
      </c>
      <c r="D14" s="19" t="s">
        <v>437</v>
      </c>
      <c r="E14" s="19" t="s">
        <v>438</v>
      </c>
      <c r="F14" s="19" t="s">
        <v>439</v>
      </c>
      <c r="G14" s="19" t="s">
        <v>308</v>
      </c>
      <c r="H14" s="19" t="s">
        <v>440</v>
      </c>
      <c r="I14" s="19" t="s">
        <v>441</v>
      </c>
    </row>
    <row r="15" customFormat="false" ht="23.85" hidden="false" customHeight="false" outlineLevel="0" collapsed="false">
      <c r="A15" s="19" t="s">
        <v>442</v>
      </c>
      <c r="B15" s="19" t="s">
        <v>443</v>
      </c>
      <c r="C15" s="19" t="s">
        <v>444</v>
      </c>
      <c r="D15" s="19" t="s">
        <v>445</v>
      </c>
      <c r="E15" s="19" t="s">
        <v>396</v>
      </c>
      <c r="F15" s="19" t="s">
        <v>446</v>
      </c>
      <c r="G15" s="19" t="s">
        <v>447</v>
      </c>
      <c r="H15" s="19" t="s">
        <v>448</v>
      </c>
      <c r="I15" s="19" t="s">
        <v>449</v>
      </c>
    </row>
    <row r="16" customFormat="false" ht="23.85" hidden="false" customHeight="false" outlineLevel="0" collapsed="false">
      <c r="A16" s="19" t="s">
        <v>450</v>
      </c>
      <c r="B16" s="19" t="s">
        <v>451</v>
      </c>
      <c r="C16" s="19" t="s">
        <v>452</v>
      </c>
      <c r="D16" s="19" t="s">
        <v>453</v>
      </c>
      <c r="E16" s="19" t="s">
        <v>454</v>
      </c>
      <c r="F16" s="19" t="s">
        <v>455</v>
      </c>
      <c r="G16" s="19" t="s">
        <v>456</v>
      </c>
      <c r="H16" s="19" t="s">
        <v>457</v>
      </c>
      <c r="I16" s="19" t="s">
        <v>458</v>
      </c>
    </row>
    <row r="17" customFormat="false" ht="23.85" hidden="false" customHeight="false" outlineLevel="0" collapsed="false">
      <c r="A17" s="19" t="s">
        <v>459</v>
      </c>
      <c r="B17" s="19" t="s">
        <v>460</v>
      </c>
      <c r="C17" s="19" t="s">
        <v>461</v>
      </c>
      <c r="D17" s="19" t="s">
        <v>462</v>
      </c>
      <c r="E17" s="19" t="s">
        <v>355</v>
      </c>
      <c r="F17" s="19" t="s">
        <v>463</v>
      </c>
      <c r="G17" s="19" t="s">
        <v>464</v>
      </c>
      <c r="H17" s="19" t="s">
        <v>374</v>
      </c>
      <c r="I17" s="19" t="s">
        <v>465</v>
      </c>
    </row>
    <row r="18" customFormat="false" ht="23.85" hidden="false" customHeight="false" outlineLevel="0" collapsed="false">
      <c r="A18" s="19" t="s">
        <v>466</v>
      </c>
      <c r="B18" s="19" t="s">
        <v>467</v>
      </c>
      <c r="C18" s="19" t="s">
        <v>468</v>
      </c>
      <c r="D18" s="19" t="s">
        <v>469</v>
      </c>
      <c r="E18" s="19" t="s">
        <v>470</v>
      </c>
      <c r="F18" s="19" t="s">
        <v>471</v>
      </c>
      <c r="G18" s="19" t="s">
        <v>472</v>
      </c>
      <c r="H18" s="19" t="s">
        <v>374</v>
      </c>
      <c r="I18" s="19" t="s">
        <v>473</v>
      </c>
    </row>
    <row r="19" customFormat="false" ht="15" hidden="false" customHeight="false" outlineLevel="0" collapsed="false">
      <c r="A19" s="19" t="s">
        <v>474</v>
      </c>
      <c r="B19" s="19" t="s">
        <v>475</v>
      </c>
      <c r="C19" s="19" t="s">
        <v>476</v>
      </c>
      <c r="D19" s="19" t="s">
        <v>477</v>
      </c>
      <c r="E19" s="19" t="s">
        <v>478</v>
      </c>
      <c r="F19" s="19" t="s">
        <v>479</v>
      </c>
      <c r="G19" s="19" t="s">
        <v>480</v>
      </c>
      <c r="H19" s="19" t="s">
        <v>374</v>
      </c>
      <c r="I19" s="19" t="s">
        <v>481</v>
      </c>
    </row>
    <row r="20" customFormat="false" ht="15" hidden="false" customHeight="false" outlineLevel="0" collapsed="false">
      <c r="A20" s="19" t="s">
        <v>482</v>
      </c>
      <c r="B20" s="19" t="s">
        <v>483</v>
      </c>
      <c r="C20" s="19" t="s">
        <v>484</v>
      </c>
      <c r="D20" s="19" t="s">
        <v>485</v>
      </c>
      <c r="E20" s="19" t="s">
        <v>486</v>
      </c>
      <c r="F20" s="19" t="s">
        <v>487</v>
      </c>
      <c r="G20" s="19" t="s">
        <v>488</v>
      </c>
      <c r="H20" s="19" t="s">
        <v>374</v>
      </c>
      <c r="I20" s="19" t="s">
        <v>489</v>
      </c>
    </row>
    <row r="21" customFormat="false" ht="15" hidden="false" customHeight="false" outlineLevel="0" collapsed="false">
      <c r="A21" s="19" t="s">
        <v>490</v>
      </c>
      <c r="B21" s="19" t="s">
        <v>491</v>
      </c>
      <c r="C21" s="19" t="s">
        <v>336</v>
      </c>
      <c r="D21" s="19" t="s">
        <v>492</v>
      </c>
      <c r="E21" s="19" t="s">
        <v>493</v>
      </c>
      <c r="F21" s="19" t="s">
        <v>494</v>
      </c>
      <c r="G21" s="19" t="s">
        <v>456</v>
      </c>
      <c r="H21" s="19" t="s">
        <v>495</v>
      </c>
      <c r="I21" s="19"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2"/>
    <col collapsed="false" customWidth="true" hidden="false" outlineLevel="0" max="4" min="4" style="0" width="34"/>
    <col collapsed="false" customWidth="true" hidden="false" outlineLevel="0" max="5" min="5" style="0" width="24"/>
    <col collapsed="false" customWidth="true" hidden="false" outlineLevel="0" max="6" min="6" style="0" width="20"/>
    <col collapsed="false" customWidth="true" hidden="false" outlineLevel="0" max="7" min="7" style="0" width="11"/>
    <col collapsed="false" customWidth="true" hidden="false" outlineLevel="0" max="9" min="8" style="0" width="12"/>
    <col collapsed="false" customWidth="true" hidden="false" outlineLevel="0" max="10" min="10" style="0" width="14"/>
  </cols>
  <sheetData>
    <row r="1" customFormat="false" ht="15" hidden="false" customHeight="false" outlineLevel="0" collapsed="false">
      <c r="A1" s="3" t="s">
        <v>22</v>
      </c>
      <c r="B1" s="3" t="s">
        <v>497</v>
      </c>
      <c r="C1" s="3" t="s">
        <v>498</v>
      </c>
      <c r="D1" s="3" t="s">
        <v>499</v>
      </c>
      <c r="E1" s="3" t="s">
        <v>500</v>
      </c>
      <c r="F1" s="3" t="s">
        <v>108</v>
      </c>
      <c r="G1" s="3" t="s">
        <v>501</v>
      </c>
      <c r="H1" s="3" t="s">
        <v>502</v>
      </c>
      <c r="I1" s="3" t="s">
        <v>503</v>
      </c>
      <c r="J1" s="3" t="s">
        <v>504</v>
      </c>
    </row>
    <row r="2" customFormat="false" ht="23.85" hidden="false" customHeight="false" outlineLevel="0" collapsed="false">
      <c r="A2" s="19" t="s">
        <v>505</v>
      </c>
      <c r="B2" s="19" t="s">
        <v>506</v>
      </c>
      <c r="C2" s="19" t="s">
        <v>507</v>
      </c>
      <c r="D2" s="19" t="s">
        <v>508</v>
      </c>
      <c r="E2" s="19" t="s">
        <v>509</v>
      </c>
      <c r="F2" s="19" t="s">
        <v>129</v>
      </c>
      <c r="G2" s="19" t="s">
        <v>510</v>
      </c>
      <c r="H2" s="19" t="s">
        <v>511</v>
      </c>
      <c r="I2" s="19" t="s">
        <v>512</v>
      </c>
      <c r="J2" s="19" t="s">
        <v>513</v>
      </c>
    </row>
    <row r="3" customFormat="false" ht="15" hidden="false" customHeight="false" outlineLevel="0" collapsed="false">
      <c r="A3" s="19" t="s">
        <v>514</v>
      </c>
      <c r="B3" s="19" t="s">
        <v>515</v>
      </c>
      <c r="C3" s="19" t="s">
        <v>516</v>
      </c>
      <c r="D3" s="19" t="s">
        <v>517</v>
      </c>
      <c r="E3" s="19" t="s">
        <v>518</v>
      </c>
      <c r="F3" s="19" t="s">
        <v>129</v>
      </c>
      <c r="G3" s="19" t="s">
        <v>519</v>
      </c>
      <c r="H3" s="19" t="s">
        <v>520</v>
      </c>
      <c r="I3" s="19" t="s">
        <v>521</v>
      </c>
      <c r="J3" s="19" t="s">
        <v>522</v>
      </c>
    </row>
    <row r="4" customFormat="false" ht="23.85" hidden="false" customHeight="false" outlineLevel="0" collapsed="false">
      <c r="A4" s="19" t="s">
        <v>523</v>
      </c>
      <c r="B4" s="19" t="s">
        <v>524</v>
      </c>
      <c r="C4" s="19" t="s">
        <v>525</v>
      </c>
      <c r="D4" s="19" t="s">
        <v>526</v>
      </c>
      <c r="E4" s="19" t="s">
        <v>527</v>
      </c>
      <c r="F4" s="19" t="s">
        <v>240</v>
      </c>
      <c r="G4" s="19" t="s">
        <v>510</v>
      </c>
      <c r="H4" s="19" t="s">
        <v>528</v>
      </c>
      <c r="I4" s="19" t="s">
        <v>529</v>
      </c>
      <c r="J4" s="19" t="s">
        <v>530</v>
      </c>
    </row>
    <row r="5" customFormat="false" ht="23.85" hidden="false" customHeight="false" outlineLevel="0" collapsed="false">
      <c r="A5" s="19" t="s">
        <v>531</v>
      </c>
      <c r="B5" s="19" t="s">
        <v>532</v>
      </c>
      <c r="C5" s="19" t="s">
        <v>533</v>
      </c>
      <c r="D5" s="19" t="s">
        <v>534</v>
      </c>
      <c r="E5" s="19" t="s">
        <v>535</v>
      </c>
      <c r="F5" s="19" t="s">
        <v>240</v>
      </c>
      <c r="G5" s="19" t="s">
        <v>510</v>
      </c>
      <c r="H5" s="19" t="s">
        <v>536</v>
      </c>
      <c r="I5" s="19" t="s">
        <v>537</v>
      </c>
      <c r="J5" s="19" t="s">
        <v>538</v>
      </c>
    </row>
    <row r="6" customFormat="false" ht="23.85" hidden="false" customHeight="false" outlineLevel="0" collapsed="false">
      <c r="A6" s="19" t="s">
        <v>539</v>
      </c>
      <c r="B6" s="19" t="s">
        <v>540</v>
      </c>
      <c r="C6" s="19" t="s">
        <v>541</v>
      </c>
      <c r="D6" s="19" t="s">
        <v>542</v>
      </c>
      <c r="E6" s="19" t="s">
        <v>543</v>
      </c>
      <c r="F6" s="19" t="s">
        <v>141</v>
      </c>
      <c r="G6" s="19" t="s">
        <v>519</v>
      </c>
      <c r="H6" s="19" t="s">
        <v>511</v>
      </c>
      <c r="I6" s="19" t="s">
        <v>512</v>
      </c>
      <c r="J6" s="19" t="s">
        <v>544</v>
      </c>
    </row>
    <row r="7" customFormat="false" ht="15" hidden="false" customHeight="false" outlineLevel="0" collapsed="false">
      <c r="A7" s="19" t="s">
        <v>545</v>
      </c>
      <c r="B7" s="19" t="s">
        <v>546</v>
      </c>
      <c r="C7" s="19" t="s">
        <v>547</v>
      </c>
      <c r="D7" s="19" t="s">
        <v>548</v>
      </c>
      <c r="E7" s="19" t="s">
        <v>549</v>
      </c>
      <c r="F7" s="19" t="s">
        <v>129</v>
      </c>
      <c r="G7" s="19" t="s">
        <v>510</v>
      </c>
      <c r="H7" s="19" t="s">
        <v>550</v>
      </c>
      <c r="I7" s="19" t="s">
        <v>512</v>
      </c>
      <c r="J7" s="19" t="s">
        <v>529</v>
      </c>
    </row>
    <row r="8" customFormat="false" ht="23.85" hidden="false" customHeight="false" outlineLevel="0" collapsed="false">
      <c r="A8" s="19" t="s">
        <v>551</v>
      </c>
      <c r="B8" s="19" t="s">
        <v>552</v>
      </c>
      <c r="C8" s="19" t="s">
        <v>553</v>
      </c>
      <c r="D8" s="19" t="s">
        <v>554</v>
      </c>
      <c r="E8" s="19" t="s">
        <v>555</v>
      </c>
      <c r="F8" s="19" t="s">
        <v>129</v>
      </c>
      <c r="G8" s="19" t="s">
        <v>510</v>
      </c>
      <c r="H8" s="19" t="s">
        <v>556</v>
      </c>
      <c r="I8" s="19" t="s">
        <v>557</v>
      </c>
      <c r="J8" s="19" t="s">
        <v>558</v>
      </c>
    </row>
    <row r="9" customFormat="false" ht="23.85" hidden="false" customHeight="false" outlineLevel="0" collapsed="false">
      <c r="A9" s="19" t="s">
        <v>559</v>
      </c>
      <c r="B9" s="19" t="s">
        <v>560</v>
      </c>
      <c r="C9" s="19" t="s">
        <v>85</v>
      </c>
      <c r="D9" s="19" t="s">
        <v>561</v>
      </c>
      <c r="E9" s="19" t="s">
        <v>562</v>
      </c>
      <c r="F9" s="19" t="s">
        <v>240</v>
      </c>
      <c r="G9" s="19" t="s">
        <v>563</v>
      </c>
      <c r="H9" s="19" t="s">
        <v>536</v>
      </c>
      <c r="I9" s="19" t="s">
        <v>537</v>
      </c>
      <c r="J9" s="19" t="s">
        <v>564</v>
      </c>
    </row>
    <row r="10" customFormat="false" ht="23.85" hidden="false" customHeight="false" outlineLevel="0" collapsed="false">
      <c r="A10" s="19" t="s">
        <v>565</v>
      </c>
      <c r="B10" s="19" t="s">
        <v>566</v>
      </c>
      <c r="C10" s="19" t="s">
        <v>567</v>
      </c>
      <c r="D10" s="19" t="s">
        <v>568</v>
      </c>
      <c r="E10" s="19" t="s">
        <v>569</v>
      </c>
      <c r="F10" s="19" t="s">
        <v>278</v>
      </c>
      <c r="G10" s="19" t="s">
        <v>519</v>
      </c>
      <c r="H10" s="19" t="s">
        <v>511</v>
      </c>
      <c r="I10" s="19" t="s">
        <v>512</v>
      </c>
      <c r="J10" s="19" t="s">
        <v>513</v>
      </c>
    </row>
    <row r="11" customFormat="false" ht="23.85" hidden="false" customHeight="false" outlineLevel="0" collapsed="false">
      <c r="A11" s="19" t="s">
        <v>570</v>
      </c>
      <c r="B11" s="19" t="s">
        <v>571</v>
      </c>
      <c r="C11" s="19" t="s">
        <v>94</v>
      </c>
      <c r="D11" s="19" t="s">
        <v>572</v>
      </c>
      <c r="E11" s="19" t="s">
        <v>573</v>
      </c>
      <c r="F11" s="19" t="s">
        <v>574</v>
      </c>
      <c r="G11" s="19" t="s">
        <v>519</v>
      </c>
      <c r="H11" s="19" t="s">
        <v>511</v>
      </c>
      <c r="I11" s="19" t="s">
        <v>529</v>
      </c>
      <c r="J11" s="19" t="s">
        <v>575</v>
      </c>
    </row>
    <row r="12" customFormat="false" ht="23.85" hidden="false" customHeight="false" outlineLevel="0" collapsed="false">
      <c r="A12" s="19" t="s">
        <v>576</v>
      </c>
      <c r="B12" s="19" t="s">
        <v>577</v>
      </c>
      <c r="C12" s="19" t="s">
        <v>100</v>
      </c>
      <c r="D12" s="19" t="s">
        <v>578</v>
      </c>
      <c r="E12" s="19" t="s">
        <v>579</v>
      </c>
      <c r="F12" s="19" t="s">
        <v>580</v>
      </c>
      <c r="G12" s="19" t="s">
        <v>519</v>
      </c>
      <c r="H12" s="19" t="s">
        <v>511</v>
      </c>
      <c r="I12" s="19" t="s">
        <v>529</v>
      </c>
      <c r="J12" s="19" t="s">
        <v>575</v>
      </c>
    </row>
    <row r="13" customFormat="false" ht="23.85" hidden="false" customHeight="false" outlineLevel="0" collapsed="false">
      <c r="A13" s="19" t="s">
        <v>581</v>
      </c>
      <c r="B13" s="19" t="s">
        <v>582</v>
      </c>
      <c r="C13" s="19" t="s">
        <v>547</v>
      </c>
      <c r="D13" s="19" t="s">
        <v>583</v>
      </c>
      <c r="E13" s="19" t="s">
        <v>584</v>
      </c>
      <c r="F13" s="19" t="s">
        <v>585</v>
      </c>
      <c r="G13" s="19" t="s">
        <v>586</v>
      </c>
      <c r="H13" s="19" t="s">
        <v>587</v>
      </c>
      <c r="I13" s="19" t="s">
        <v>588</v>
      </c>
      <c r="J13" s="19"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30"/>
    <col collapsed="false" customWidth="true" hidden="false" outlineLevel="0" max="4" min="4" style="0" width="100"/>
  </cols>
  <sheetData>
    <row r="1" customFormat="false" ht="15" hidden="false" customHeight="false" outlineLevel="0" collapsed="false">
      <c r="A1" s="3" t="s">
        <v>22</v>
      </c>
      <c r="B1" s="3" t="s">
        <v>590</v>
      </c>
      <c r="C1" s="3" t="s">
        <v>591</v>
      </c>
      <c r="D1" s="3" t="s">
        <v>592</v>
      </c>
    </row>
    <row r="2" customFormat="false" ht="23.85" hidden="false" customHeight="false" outlineLevel="0" collapsed="false">
      <c r="A2" s="19" t="s">
        <v>593</v>
      </c>
      <c r="B2" s="19" t="s">
        <v>594</v>
      </c>
      <c r="C2" s="19" t="s">
        <v>595</v>
      </c>
      <c r="D2" s="19" t="s">
        <v>596</v>
      </c>
    </row>
    <row r="3" customFormat="false" ht="35.05" hidden="false" customHeight="false" outlineLevel="0" collapsed="false">
      <c r="A3" s="19" t="s">
        <v>597</v>
      </c>
      <c r="B3" s="19" t="s">
        <v>598</v>
      </c>
      <c r="C3" s="19" t="s">
        <v>595</v>
      </c>
      <c r="D3" s="19" t="s">
        <v>599</v>
      </c>
    </row>
    <row r="4" customFormat="false" ht="23.85" hidden="false" customHeight="false" outlineLevel="0" collapsed="false">
      <c r="A4" s="19" t="s">
        <v>600</v>
      </c>
      <c r="B4" s="19" t="s">
        <v>601</v>
      </c>
      <c r="C4" s="19" t="s">
        <v>595</v>
      </c>
      <c r="D4" s="19" t="s">
        <v>602</v>
      </c>
    </row>
    <row r="5" customFormat="false" ht="23.85" hidden="false" customHeight="false" outlineLevel="0" collapsed="false">
      <c r="A5" s="19" t="s">
        <v>603</v>
      </c>
      <c r="B5" s="19" t="s">
        <v>604</v>
      </c>
      <c r="C5" s="19" t="s">
        <v>595</v>
      </c>
      <c r="D5" s="19" t="s">
        <v>605</v>
      </c>
    </row>
    <row r="6" customFormat="false" ht="23.85" hidden="false" customHeight="false" outlineLevel="0" collapsed="false">
      <c r="A6" s="19" t="s">
        <v>606</v>
      </c>
      <c r="B6" s="19" t="s">
        <v>607</v>
      </c>
      <c r="C6" s="19" t="s">
        <v>595</v>
      </c>
      <c r="D6" s="19" t="s">
        <v>608</v>
      </c>
    </row>
    <row r="7" customFormat="false" ht="35.05" hidden="false" customHeight="false" outlineLevel="0" collapsed="false">
      <c r="A7" s="19" t="s">
        <v>609</v>
      </c>
      <c r="B7" s="19" t="s">
        <v>610</v>
      </c>
      <c r="C7" s="19" t="s">
        <v>611</v>
      </c>
      <c r="D7" s="19" t="s">
        <v>612</v>
      </c>
    </row>
    <row r="8" customFormat="false" ht="23.85" hidden="false" customHeight="false" outlineLevel="0" collapsed="false">
      <c r="A8" s="19" t="s">
        <v>613</v>
      </c>
      <c r="B8" s="19" t="s">
        <v>614</v>
      </c>
      <c r="C8" s="19" t="s">
        <v>595</v>
      </c>
      <c r="D8" s="19" t="s">
        <v>615</v>
      </c>
    </row>
    <row r="9" customFormat="false" ht="15" hidden="false" customHeight="false" outlineLevel="0" collapsed="false">
      <c r="A9" s="19" t="s">
        <v>616</v>
      </c>
      <c r="B9" s="19" t="s">
        <v>617</v>
      </c>
      <c r="C9" s="19" t="s">
        <v>595</v>
      </c>
      <c r="D9" s="19" t="s">
        <v>618</v>
      </c>
    </row>
    <row r="10" customFormat="false" ht="23.85" hidden="false" customHeight="false" outlineLevel="0" collapsed="false">
      <c r="A10" s="19" t="s">
        <v>619</v>
      </c>
      <c r="B10" s="19" t="s">
        <v>620</v>
      </c>
      <c r="C10" s="19" t="s">
        <v>621</v>
      </c>
      <c r="D10" s="19" t="s">
        <v>622</v>
      </c>
    </row>
    <row r="11" customFormat="false" ht="15" hidden="false" customHeight="false" outlineLevel="0" collapsed="false">
      <c r="A11" s="19" t="s">
        <v>623</v>
      </c>
      <c r="B11" s="19" t="s">
        <v>624</v>
      </c>
      <c r="C11" s="19" t="s">
        <v>625</v>
      </c>
      <c r="D11" s="19" t="s">
        <v>626</v>
      </c>
    </row>
    <row r="12" customFormat="false" ht="15" hidden="false" customHeight="false" outlineLevel="0" collapsed="false">
      <c r="A12" s="19" t="s">
        <v>627</v>
      </c>
      <c r="B12" s="19" t="s">
        <v>628</v>
      </c>
      <c r="C12" s="19" t="s">
        <v>625</v>
      </c>
      <c r="D12" s="19" t="s">
        <v>629</v>
      </c>
    </row>
    <row r="13" customFormat="false" ht="15" hidden="false" customHeight="false" outlineLevel="0" collapsed="false">
      <c r="A13" s="19" t="s">
        <v>630</v>
      </c>
      <c r="B13" s="19" t="s">
        <v>631</v>
      </c>
      <c r="C13" s="19" t="s">
        <v>632</v>
      </c>
      <c r="D13" s="19" t="s">
        <v>633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2026-10-23T16:08:33Z</dcterms:created>
  <dc:creator>openpyxl</dc:creator>
  <dc:description/>
  <dc:language>en-US</dc:language>
  <cp:lastModifiedBy/>
  <dcterms:modified xsi:type="dcterms:W3CDTF">2026-10-23T16:08:33Z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