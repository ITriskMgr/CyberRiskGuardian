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A_Context" sheetId="2" state="visible" r:id="rId4"/>
    <sheet name="A_AssetMap" sheetId="3" state="visible" r:id="rId5"/>
    <sheet name="A_Dependencies" sheetId="4" state="visible" r:id="rId6"/>
    <sheet name="B_Candidates" sheetId="5" state="visible" r:id="rId7"/>
    <sheet name="C_Weights" sheetId="6" state="visible" r:id="rId8"/>
    <sheet name="C_Screening" sheetId="7" state="visible" r:id="rId9"/>
    <sheet name="C_Sensitivity" sheetId="8" state="visible" r:id="rId10"/>
    <sheet name="D_Portfolio" sheetId="9" state="visible" r:id="rId11"/>
    <sheet name="D_WhyTest" sheetId="10" state="visible" r:id="rId12"/>
    <sheet name="D_QuantPrep" sheetId="11" state="visible" r:id="rId13"/>
    <sheet name="D_Validation" sheetId="12" state="visible" r:id="rId14"/>
    <sheet name="E_Coverage" sheetId="13" state="visible" r:id="rId15"/>
    <sheet name="E_Quality" sheetId="14" state="visible" r:id="rId16"/>
    <sheet name="Changes"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<sst xmlns="http://schemas.openxmlformats.org/spreadsheetml/2006/main" count="2303" uniqueCount="1327">
  <si>
    <t xml:space="preserve">MediBec - Cybersecurity Risk Scenario Selection (10-scenario portfolio)</t>
  </si>
  <si>
    <t xml:space="preserve">Prepared 25 September 2026 under the Scenario Selection Instructions (20 steps, output Sections A-E). Assessment horizon: 12 months (Oct 2026 - Sep 2027).</t>
  </si>
  <si>
    <t xml:space="preserve">Source: MediBec Business Case v2.0b (fictional teaching case) and the earlier 30-scenario CyberRiskGuardian analysis. All scores and estimates are ANALYST JUDGEMENT - VALIDATION REQUIRED.</t>
  </si>
  <si>
    <t xml:space="preserve">Final scenario selection remains the responsibility of the human analyst and MediBec management (Critical rule 14).</t>
  </si>
  <si>
    <t xml:space="preserve">Sheets (output sections):</t>
  </si>
  <si>
    <t xml:space="preserve">  A_Context, A_AssetMap, A_Dependencies  - Section A: scope, objectives, asset map, single points of failure, materiality criteria, gaps.</t>
  </si>
  <si>
    <t xml:space="preserve">  B_Candidates                           - Section B: 45 candidate scenarios written as causal chains.</t>
  </si>
  <si>
    <t xml:space="preserve">  C_Screening                            - Section C: 12 criteria scored 1-5 (blue = editable), escalation flags, evidence, confidence, disposition.</t>
  </si>
  <si>
    <t xml:space="preserve">  C_Weights, C_Sensitivity               - Section C / step 20: four weighting schemes; family ranking recalculates live.</t>
  </si>
  <si>
    <t xml:space="preserve">  D_Portfolio, D_WhyTest, D_QuantPrep, D_Validation - Section D: final 10 scenarios (P01-P10), 'why this scenario' test, inputs for quantification, stakeholder validation.</t>
  </si>
  <si>
    <t xml:space="preserve">  E_Coverage, E_Quality                  - Section E: coverage matrix, portfolio quality review, blind spots, evidence plan.</t>
  </si>
  <si>
    <t xml:space="preserve">  Changes                                - how P01-P10 relate to S1-S30 of the earlier assessment.</t>
  </si>
  <si>
    <t xml:space="preserve">Scale: 1 = very low, 3 = moderate, 5 = very high. For Evidence strength, 5 = direct organizational evidence, 1 = assumption only.</t>
  </si>
  <si>
    <t xml:space="preserve">The total score is a screening aid, not a ranking rule (Instruction s.9). Dispositions: Select / Consolidate (into a P scenario) / Consider (explicit review) / Defer.</t>
  </si>
  <si>
    <t xml:space="preserve">Colours: blue text = input; black = formula or analyst text; green = link to another sheet.</t>
  </si>
  <si>
    <t xml:space="preserve">Section A - Assessment context</t>
  </si>
  <si>
    <t xml:space="preserve">Element</t>
  </si>
  <si>
    <t xml:space="preserve">Summary</t>
  </si>
  <si>
    <t xml:space="preserve">Basis</t>
  </si>
  <si>
    <t xml:space="preserve">Organization</t>
  </si>
  <si>
    <t xml:space="preserve">MediBec private medical centre - Montreal head office and data centre, 10 clinics (Montreal, Quebec City, Gatineau, Saguenay).</t>
  </si>
  <si>
    <t xml:space="preserve">Documented (E1)</t>
  </si>
  <si>
    <t xml:space="preserve">Scope</t>
  </si>
  <si>
    <t xml:space="preserve">All clinical, administrative and supporting technology services, including cloud, clinic networks, medical equipment, vendors and staff use of external services.</t>
  </si>
  <si>
    <t xml:space="preserve">Analyst definition</t>
  </si>
  <si>
    <t xml:space="preserve">Time horizon</t>
  </si>
  <si>
    <t xml:space="preserve">12 months (October 2026 - September 2027) for probability estimates.</t>
  </si>
  <si>
    <t xml:space="preserve">Instruction s.1 default</t>
  </si>
  <si>
    <t xml:space="preserve">Purpose</t>
  </si>
  <si>
    <t xml:space="preserve">Select 10 scenarios representing MediBec's material cyber exposure for detailed CyberRiskGuardian quantification.</t>
  </si>
  <si>
    <t xml:space="preserve">User request</t>
  </si>
  <si>
    <t xml:space="preserve">Mission</t>
  </si>
  <si>
    <t xml:space="preserve">Deliver high-quality healthcare supported by technology, efficient clinical workflows and secure access to patient information.</t>
  </si>
  <si>
    <t xml:space="preserve">Strategic context</t>
  </si>
  <si>
    <t xml:space="preserve">2024-2030 cybersecurity roadmap; increasing attack attempts since 2020; no confirmed breach; lean IT (15 staff, 2 in security).</t>
  </si>
  <si>
    <t xml:space="preserve">Documented (E3, E4)</t>
  </si>
  <si>
    <t xml:space="preserve">Maturity (indicative)</t>
  </si>
  <si>
    <t xml:space="preserve">Perimeter controls (firewalls, IDS/IPS, antimalware), EDR, encrypted storage, on/off-site backups, push MFA on remote access. No evidence of PAM, SIEM/24x7 monitoring, segmentation, immutable backup, vendor risk programme, tested IR.</t>
  </si>
  <si>
    <t xml:space="preserve">Documented (E2) + exercise evidence (E6) + analyst inference</t>
  </si>
  <si>
    <t xml:space="preserve">Known weaknesses (exercise evidence)</t>
  </si>
  <si>
    <t xml:space="preserve">Macro phishing lure from look-alike domain; PowerShell alert closed as low severity; MFA push approved from unusual geography; external download of medical-image export; unusual queries by ehr-sync-svc; clinic backup failures.</t>
  </si>
  <si>
    <t xml:space="preserve">Exercise evidence (E6) - validate</t>
  </si>
  <si>
    <t xml:space="preserve">Obligations</t>
  </si>
  <si>
    <t xml:space="preserve">Quebec and Canadian privacy expectations for health information (confidentiality incidents, register, notification where risk of serious injury), professional obligations, contracts with cloud/technology vendors, evidence preservation.</t>
  </si>
  <si>
    <t xml:space="preserve">Documented (s.5) - legal counsel to confirm regime</t>
  </si>
  <si>
    <t xml:space="preserve">Risk appetite</t>
  </si>
  <si>
    <t xml:space="preserve">Low appetite for patient-safety, health-data, compliance and trust risks; moderate for governed innovation. Case tolerance 0.40 normalized; analytical estimate 0.30 used in CRG calculations. Residual &gt; 0.25 executive review; &gt; 0.40 Board acceptance.</t>
  </si>
  <si>
    <t xml:space="preserve">Documented (E5) + analytical estimate</t>
  </si>
  <si>
    <t xml:space="preserve">Critical objectives</t>
  </si>
  <si>
    <t xml:space="preserve">ID</t>
  </si>
  <si>
    <t xml:space="preserve">Objective</t>
  </si>
  <si>
    <t xml:space="preserve">Critical processes</t>
  </si>
  <si>
    <t xml:space="preserve">O1</t>
  </si>
  <si>
    <t xml:space="preserve">Safe, continuous patient care in all 10 clinics</t>
  </si>
  <si>
    <t xml:space="preserve">Clinical documentation, diagnostics, prescribing, appointments</t>
  </si>
  <si>
    <t xml:space="preserve">O2</t>
  </si>
  <si>
    <t xml:space="preserve">Protection of patient health information and privacy compliance</t>
  </si>
  <si>
    <t xml:space="preserve">EHR access, image sharing, referrals, communications</t>
  </si>
  <si>
    <t xml:space="preserve">O3</t>
  </si>
  <si>
    <t xml:space="preserve">Operational and financial continuity</t>
  </si>
  <si>
    <t xml:space="preserve">Billing, payments, supplier management, administration</t>
  </si>
  <si>
    <t xml:space="preserve">O4</t>
  </si>
  <si>
    <t xml:space="preserve">Public and patient trust</t>
  </si>
  <si>
    <t xml:space="preserve">Patient communications, online services, incident communications</t>
  </si>
  <si>
    <t xml:space="preserve">O5</t>
  </si>
  <si>
    <t xml:space="preserve">Governed modernization (2024-2030)</t>
  </si>
  <si>
    <t xml:space="preserve">Cloud, AI, device and application adoption</t>
  </si>
  <si>
    <t xml:space="preserve">Materiality criteria used for selection (risk appetite and tolerance, Instruction s.4)</t>
  </si>
  <si>
    <t xml:space="preserve">Dimension</t>
  </si>
  <si>
    <t xml:space="preserve">Scenario is material if it could...</t>
  </si>
  <si>
    <t xml:space="preserve">Patient safety</t>
  </si>
  <si>
    <t xml:space="preserve">Any credible immediate threat to patient care or clinical decisions exceeds appetite (E5).</t>
  </si>
  <si>
    <t xml:space="preserve">Health data</t>
  </si>
  <si>
    <t xml:space="preserve">Exposure of health information of many patients, or any exposure of sensitive categories, is material.</t>
  </si>
  <si>
    <t xml:space="preserve">Clinical availability</t>
  </si>
  <si>
    <t xml:space="preserve">Loss of EHR, diagnostics or scheduling at several clinics beyond a working day is material.</t>
  </si>
  <si>
    <t xml:space="preserve">Regulatory</t>
  </si>
  <si>
    <t xml:space="preserve">Reportable confidentiality incident or failure to meet notification duties.</t>
  </si>
  <si>
    <t xml:space="preserve">Financial</t>
  </si>
  <si>
    <t xml:space="preserve">Loss that would require re-prioritizing the IT/cyber budget (analyst threshold: &gt; CAD 250k) - validate with CFO.</t>
  </si>
  <si>
    <t xml:space="preserve">Reputational</t>
  </si>
  <si>
    <t xml:space="preserve">Regional media coverage or loss of referring-partner confidence.</t>
  </si>
  <si>
    <t xml:space="preserve">Recoverability</t>
  </si>
  <si>
    <t xml:space="preserve">Any scenario that can defeat primary and recovery environments together.</t>
  </si>
  <si>
    <t xml:space="preserve">Assumptions and information gaps (Instruction s.1, s.15)</t>
  </si>
  <si>
    <t xml:space="preserve">Gap / assumption</t>
  </si>
  <si>
    <t xml:space="preserve">How to validate</t>
  </si>
  <si>
    <t xml:space="preserve">Asset and medical-device inventories; internet-exposed services</t>
  </si>
  <si>
    <t xml:space="preserve">Architecture review, external attack-surface scan</t>
  </si>
  <si>
    <t xml:space="preserve">Identity design: MFA coverage, privileged and service accounts, help-desk reset procedure</t>
  </si>
  <si>
    <t xml:space="preserve">IAM configuration review, interviews</t>
  </si>
  <si>
    <t xml:space="preserve">Backup isolation, immutability, restore-test results, RTO/RPO</t>
  </si>
  <si>
    <t xml:space="preserve">Backup architecture review, restore test evidence</t>
  </si>
  <si>
    <t xml:space="preserve">Cloud tenant configuration, sharing links, logging</t>
  </si>
  <si>
    <t xml:space="preserve">Cloud posture assessment</t>
  </si>
  <si>
    <t xml:space="preserve">Vendor list, contracts, remote-access and update mechanisms</t>
  </si>
  <si>
    <t xml:space="preserve">Procurement records, supplier assessments</t>
  </si>
  <si>
    <t xml:space="preserve">Existence of patient portal, in-house code repositories, telehealth platform</t>
  </si>
  <si>
    <t xml:space="preserve">Application inventory, interviews with application owners</t>
  </si>
  <si>
    <t xml:space="preserve">Incident history since 2020 and how attempts were detected</t>
  </si>
  <si>
    <t xml:space="preserve">Incident records, SOC/EDR logs</t>
  </si>
  <si>
    <t xml:space="preserve">Staff use of generative AI</t>
  </si>
  <si>
    <t xml:space="preserve">Proxy logs, staff survey</t>
  </si>
  <si>
    <t xml:space="preserve">IT and cybersecurity budget figures</t>
  </si>
  <si>
    <t xml:space="preserve">Finance</t>
  </si>
  <si>
    <t xml:space="preserve">Section A - Business objective -&gt; process -&gt; primary asset -&gt; supporting assets -&gt; dependencies -&gt; consequences</t>
  </si>
  <si>
    <t xml:space="preserve">Business process</t>
  </si>
  <si>
    <t xml:space="preserve">Primary asset</t>
  </si>
  <si>
    <t xml:space="preserve">Supporting assets</t>
  </si>
  <si>
    <t xml:space="preserve">Dependencies</t>
  </si>
  <si>
    <t xml:space="preserve">Potential consequences</t>
  </si>
  <si>
    <t xml:space="preserve">Clinical documentation and decision-making</t>
  </si>
  <si>
    <t xml:space="preserve">Patient record (EHR data) and its integrity</t>
  </si>
  <si>
    <t xml:space="preserve">EHR application and database, workstations, tablets</t>
  </si>
  <si>
    <t xml:space="preserve">Identity/MFA, Montreal DC, WAN, EHR vendor</t>
  </si>
  <si>
    <t xml:space="preserve">Delayed or unsafe care, clinic disruption</t>
  </si>
  <si>
    <t xml:space="preserve">Diagnostics (imaging, lab) and pharmacy</t>
  </si>
  <si>
    <t xml:space="preserve">Diagnostic results, images, medication data</t>
  </si>
  <si>
    <t xml:space="preserve">Imaging modalities, lab/pharmacy systems, HL7/DICOM interfaces</t>
  </si>
  <si>
    <t xml:space="preserve">Medical-device vendors, interface engine, network</t>
  </si>
  <si>
    <t xml:space="preserve">Wrong or delayed diagnosis, medication errors</t>
  </si>
  <si>
    <t xml:space="preserve">Appointment and patient flow</t>
  </si>
  <si>
    <t xml:space="preserve">Scheduling service</t>
  </si>
  <si>
    <t xml:space="preserve">Scheduling system, online booking, phones</t>
  </si>
  <si>
    <t xml:space="preserve">Internet link, hosting provider</t>
  </si>
  <si>
    <t xml:space="preserve">Cancelled appointments, overload</t>
  </si>
  <si>
    <t xml:space="preserve">Access to and sharing of health information</t>
  </si>
  <si>
    <t xml:space="preserve">Patient health information (all stores)</t>
  </si>
  <si>
    <t xml:space="preserve">Cloud storage, clinic storage units, e-mail, APIs, backups</t>
  </si>
  <si>
    <t xml:space="preserve">Cloud provider, identity, integration partners</t>
  </si>
  <si>
    <t xml:space="preserve">Privacy breach, notification, sanctions</t>
  </si>
  <si>
    <t xml:space="preserve">Billing and payments</t>
  </si>
  <si>
    <t xml:space="preserve">Financial assets, billing data</t>
  </si>
  <si>
    <t xml:space="preserve">Billing system, accounts payable, e-mail</t>
  </si>
  <si>
    <t xml:space="preserve">Banks, payers, billing vendor</t>
  </si>
  <si>
    <t xml:space="preserve">Financial loss, cash-flow disruption</t>
  </si>
  <si>
    <t xml:space="preserve">IT operations and recovery</t>
  </si>
  <si>
    <t xml:space="preserve">Ability to restore services</t>
  </si>
  <si>
    <t xml:space="preserve">Backup servers, off-site copies, admin tooling</t>
  </si>
  <si>
    <t xml:space="preserve">Backup identity, off-site provider, admin staff</t>
  </si>
  <si>
    <t xml:space="preserve">Prolonged outage, permanent data loss</t>
  </si>
  <si>
    <t xml:space="preserve">Patient communications</t>
  </si>
  <si>
    <t xml:space="preserve">MediBec brand and patient trust</t>
  </si>
  <si>
    <t xml:space="preserve">Web site, SMS/e-mail senders, telehealth platform</t>
  </si>
  <si>
    <t xml:space="preserve">DNS, communication vendors</t>
  </si>
  <si>
    <t xml:space="preserve">Loss of trust, patient fraud</t>
  </si>
  <si>
    <t xml:space="preserve">Clinical innovation (AI, cloud, devices)</t>
  </si>
  <si>
    <t xml:space="preserve">New digital capabilities</t>
  </si>
  <si>
    <t xml:space="preserve">SaaS/AI tools, cloud services, new devices</t>
  </si>
  <si>
    <t xml:space="preserve">External AI and SaaS providers</t>
  </si>
  <si>
    <t xml:space="preserve">Uncontrolled data transfer, new attack surface</t>
  </si>
  <si>
    <t xml:space="preserve">Section A - Dependencies, single points of failure and concentration (Instruction s.3)</t>
  </si>
  <si>
    <t xml:space="preserve">Peripheral = assets that receive less security oversight but reach critical systems.</t>
  </si>
  <si>
    <t xml:space="preserve">Dependency</t>
  </si>
  <si>
    <t xml:space="preserve">Type</t>
  </si>
  <si>
    <t xml:space="preserve">What depends on it</t>
  </si>
  <si>
    <t xml:space="preserve">Single point of failure / concentration</t>
  </si>
  <si>
    <t xml:space="preserve">Peripheral asset?</t>
  </si>
  <si>
    <t xml:space="preserve">Related candidates</t>
  </si>
  <si>
    <t xml:space="preserve">Directory, MFA and cloud identity</t>
  </si>
  <si>
    <t xml:space="preserve">Identity</t>
  </si>
  <si>
    <t xml:space="preserve">Every crown jewel; remote and cloud access</t>
  </si>
  <si>
    <t xml:space="preserve">Concentration - single identity plane; push MFA</t>
  </si>
  <si>
    <t xml:space="preserve">No</t>
  </si>
  <si>
    <t xml:space="preserve">C01, C20, C23, C30, C35, C41</t>
  </si>
  <si>
    <t xml:space="preserve">Montreal data centre and WAN hub</t>
  </si>
  <si>
    <t xml:space="preserve">Location / network</t>
  </si>
  <si>
    <t xml:space="preserve">EHR, identity, backups, imaging for all 10 clinics</t>
  </si>
  <si>
    <t xml:space="preserve">Single point of failure (no alternate site evidenced)</t>
  </si>
  <si>
    <t xml:space="preserve">C16, C45, C02</t>
  </si>
  <si>
    <t xml:space="preserve">Backup infrastructure and backup administration</t>
  </si>
  <si>
    <t xml:space="preserve">Recovery</t>
  </si>
  <si>
    <t xml:space="preserve">Recovery of every service</t>
  </si>
  <si>
    <t xml:space="preserve">Possible shared admin domain with production - primary and recovery can fail together</t>
  </si>
  <si>
    <t xml:space="preserve">C03, C31, C02</t>
  </si>
  <si>
    <t xml:space="preserve">Integrated EHR vendor</t>
  </si>
  <si>
    <t xml:space="preserve">Supplier / SaaS</t>
  </si>
  <si>
    <t xml:space="preserve">Clinical documentation at all clinics</t>
  </si>
  <si>
    <t xml:space="preserve">Supplier concentration; vendor remote access and updates</t>
  </si>
  <si>
    <t xml:space="preserve">C13, C22</t>
  </si>
  <si>
    <t xml:space="preserve">Medical-device manufacturers</t>
  </si>
  <si>
    <t xml:space="preserve">Supplier</t>
  </si>
  <si>
    <t xml:space="preserve">Imaging and diagnostic equipment</t>
  </si>
  <si>
    <t xml:space="preserve">Patching controlled by manufacturers; certification limits</t>
  </si>
  <si>
    <t xml:space="preserve">Yes - devices often outside IT oversight</t>
  </si>
  <si>
    <t xml:space="preserve">C09, C27, C43</t>
  </si>
  <si>
    <t xml:space="preserve">Cloud storage / tenant</t>
  </si>
  <si>
    <t xml:space="preserve">Cloud</t>
  </si>
  <si>
    <t xml:space="preserve">Image transfer, exports, collaboration</t>
  </si>
  <si>
    <t xml:space="preserve">Tenant-wide control plane</t>
  </si>
  <si>
    <t xml:space="preserve">Partly - exports created ad hoc</t>
  </si>
  <si>
    <t xml:space="preserve">C04, C23, C05</t>
  </si>
  <si>
    <t xml:space="preserve">Clinic networks, Wi-Fi and local storage units</t>
  </si>
  <si>
    <t xml:space="preserve">Network / storage</t>
  </si>
  <si>
    <t xml:space="preserve">Point-of-care access in 10 clinics</t>
  </si>
  <si>
    <t xml:space="preserve">Flat networks assumed; local data outside central controls</t>
  </si>
  <si>
    <t xml:space="preserve">Yes - clinic-level assets</t>
  </si>
  <si>
    <t xml:space="preserve">C06, C17, C27</t>
  </si>
  <si>
    <t xml:space="preserve">Internet-facing edge (VPN, firewalls, admin interfaces)</t>
  </si>
  <si>
    <t xml:space="preserve">Network</t>
  </si>
  <si>
    <t xml:space="preserve">Remote access for clinicians and vendors</t>
  </si>
  <si>
    <t xml:space="preserve">Single gateway; exposure unknown</t>
  </si>
  <si>
    <t xml:space="preserve">Yes - forgotten interfaces</t>
  </si>
  <si>
    <t xml:space="preserve">C07, C26, C36</t>
  </si>
  <si>
    <t xml:space="preserve">Telecom carriers</t>
  </si>
  <si>
    <t xml:space="preserve">WAN and internet for all clinics</t>
  </si>
  <si>
    <t xml:space="preserve">Carrier concentration unknown</t>
  </si>
  <si>
    <t xml:space="preserve">C16, C10</t>
  </si>
  <si>
    <t xml:space="preserve">Interface engine (HL7/DICOM)</t>
  </si>
  <si>
    <t xml:space="preserve">Application</t>
  </si>
  <si>
    <t xml:space="preserve">Lab, pharmacy, imaging data into EHR</t>
  </si>
  <si>
    <t xml:space="preserve">Single integration path</t>
  </si>
  <si>
    <t xml:space="preserve">Yes - legacy protocols</t>
  </si>
  <si>
    <t xml:space="preserve">C32</t>
  </si>
  <si>
    <t xml:space="preserve">External AI and SaaS services used by staff</t>
  </si>
  <si>
    <t xml:space="preserve">SaaS</t>
  </si>
  <si>
    <t xml:space="preserve">Documentation, correspondence</t>
  </si>
  <si>
    <t xml:space="preserve">Unmanaged; outside contracts</t>
  </si>
  <si>
    <t xml:space="preserve">Yes - shadow IT</t>
  </si>
  <si>
    <t xml:space="preserve">C29, C42</t>
  </si>
  <si>
    <t xml:space="preserve">Privileged IT administrators (15-person team)</t>
  </si>
  <si>
    <t xml:space="preserve">People</t>
  </si>
  <si>
    <t xml:space="preserve">All infrastructure</t>
  </si>
  <si>
    <t xml:space="preserve">Key-person dependency; standing privileges</t>
  </si>
  <si>
    <t xml:space="preserve">C31, C35</t>
  </si>
  <si>
    <t xml:space="preserve">Section B - Candidate scenario population (45 candidates)</t>
  </si>
  <si>
    <t xml:space="preserve">Generation strategy: TD top-down, BU bottom-up, TH threat-driven, GL generic localized, DP dependency-driven. Prior ID links to the 30-scenario assessment.</t>
  </si>
  <si>
    <t xml:space="preserve">Scenario name</t>
  </si>
  <si>
    <t xml:space="preserve">Causal scenario statement</t>
  </si>
  <si>
    <t xml:space="preserve">Primary asset / process</t>
  </si>
  <si>
    <t xml:space="preserve">Threat source / event</t>
  </si>
  <si>
    <t xml:space="preserve">Principal vulnerability / condition</t>
  </si>
  <si>
    <t xml:space="preserve">Primary consequence</t>
  </si>
  <si>
    <t xml:space="preserve">CIA</t>
  </si>
  <si>
    <t xml:space="preserve">Strategy</t>
  </si>
  <si>
    <t xml:space="preserve">Source ref</t>
  </si>
  <si>
    <t xml:space="preserve">Prior ID</t>
  </si>
  <si>
    <t xml:space="preserve">C01</t>
  </si>
  <si>
    <t xml:space="preserve">Phishing-led compromise of clinic administrator credentials</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</si>
  <si>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</si>
  <si>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CJ5 / CJ1</t>
  </si>
  <si>
    <t xml:space="preserve">Cybercriminal</t>
  </si>
  <si>
    <t xml:space="preserve">Push-based MFA susceptible to fatigue; macro attachments delivered</t>
  </si>
  <si>
    <t xml:space="preserve">Unauthorized EHR and remote access</t>
  </si>
  <si>
    <t xml:space="preserve">C, I</t>
  </si>
  <si>
    <t xml:space="preserve">TH, BU</t>
  </si>
  <si>
    <t xml:space="preserve">MED-CYR-01, 12</t>
  </si>
  <si>
    <t xml:space="preserve">S1</t>
  </si>
  <si>
    <t xml:space="preserve">C02</t>
  </si>
  <si>
    <t xml:space="preserve">Ransomware encrypting EHR support systems, shared folders and scheduling</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</si>
  <si>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</si>
  <si>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CJ1 / CJ3 / CJ6</t>
  </si>
  <si>
    <t xml:space="preserve">Ransomware group</t>
  </si>
  <si>
    <t xml:space="preserve">Flat internal network; weak alert triage; backups reachable</t>
  </si>
  <si>
    <t xml:space="preserve">Multi-clinic disruption and data theft</t>
  </si>
  <si>
    <t xml:space="preserve">C, I, A</t>
  </si>
  <si>
    <t xml:space="preserve">TD, TH</t>
  </si>
  <si>
    <t xml:space="preserve">MED-CYR-02</t>
  </si>
  <si>
    <t xml:space="preserve">S2</t>
  </si>
  <si>
    <t xml:space="preserve">C03</t>
  </si>
  <si>
    <t xml:space="preserve">Backup environment compromised before encryption, recovery fails</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</si>
  <si>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</si>
  <si>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CJ6</t>
  </si>
  <si>
    <t xml:space="preserve">Ransomware group / privileged attacker</t>
  </si>
  <si>
    <t xml:space="preserve">Backups in same admin domain; restore testing not evidenced</t>
  </si>
  <si>
    <t xml:space="preserve">Prolonged outage, loss of recoverability</t>
  </si>
  <si>
    <t xml:space="preserve">A, I</t>
  </si>
  <si>
    <t xml:space="preserve">DP, BU</t>
  </si>
  <si>
    <t xml:space="preserve">MED-CYR-07</t>
  </si>
  <si>
    <t xml:space="preserve">S3</t>
  </si>
  <si>
    <t xml:space="preserve">C04</t>
  </si>
  <si>
    <t xml:space="preserve">Cloud medical-image transfer storage exposed or accessed externally</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</si>
  <si>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</si>
  <si>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CJ7</t>
  </si>
  <si>
    <t xml:space="preserve">Opportunistic actor / cybercriminal</t>
  </si>
  <si>
    <t xml:space="preserve">Permissive sharing, weak cloud logging and posture management</t>
  </si>
  <si>
    <t xml:space="preserve">Bulk health-data exposure</t>
  </si>
  <si>
    <t xml:space="preserve">C</t>
  </si>
  <si>
    <t xml:space="preserve">BU</t>
  </si>
  <si>
    <t xml:space="preserve">MED-CYR-03</t>
  </si>
  <si>
    <t xml:space="preserve">S4</t>
  </si>
  <si>
    <t xml:space="preserve">C05</t>
  </si>
  <si>
    <t xml:space="preserve">API key committed to a code repository enables data access</t>
  </si>
  <si>
    <t xml:space="preserve">An opportunistic actor finds an API key, database connection string or cloud access token that a developer committed to a code repository, left in a log or embedded in a configuration file, and uses it to call MediBec's EHR integration or cloud storage APIs directly, extracting patient data without passing through user authentication.</t>
  </si>
  <si>
    <t xml:space="preserve">CJ1 / CJ7</t>
  </si>
  <si>
    <t xml:space="preserve">Opportunistic actor</t>
  </si>
  <si>
    <t xml:space="preserve">No secret scanning or vault evidenced</t>
  </si>
  <si>
    <t xml:space="preserve">Direct API data extraction</t>
  </si>
  <si>
    <t xml:space="preserve">GL</t>
  </si>
  <si>
    <t xml:space="preserve">MED-CYR-04</t>
  </si>
  <si>
    <t xml:space="preserve">S11</t>
  </si>
  <si>
    <t xml:space="preserve">C06</t>
  </si>
  <si>
    <t xml:space="preserve">Clinic Wi-Fi compromise or rogue access point</t>
  </si>
  <si>
    <t xml:space="preserve">An attacker in or near a clinic exploits weak wireless security, an unsegmented guest network or a rogue access point to join the clinic network, intercept credentials and reach EHR workstations and local storage.</t>
  </si>
  <si>
    <t xml:space="preserve">Clinic LAN</t>
  </si>
  <si>
    <t xml:space="preserve">Local attacker</t>
  </si>
  <si>
    <t xml:space="preserve">Guest/clinical Wi-Fi segmentation not evidenced</t>
  </si>
  <si>
    <t xml:space="preserve">Internal network foothold</t>
  </si>
  <si>
    <t xml:space="preserve">MED-CYR-05</t>
  </si>
  <si>
    <t xml:space="preserve">S12</t>
  </si>
  <si>
    <t xml:space="preserve">C07</t>
  </si>
  <si>
    <t xml:space="preserve">Exploitation of unpatched internet-facing or end-of-life systems</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</si>
  <si>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</si>
  <si>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CJ5 / CJ6</t>
  </si>
  <si>
    <t xml:space="preserve">Cybercriminal / state-linked actor</t>
  </si>
  <si>
    <t xml:space="preserve">Patch delays from uptime and vendor constraints</t>
  </si>
  <si>
    <t xml:space="preserve">Remote code execution and intrusion</t>
  </si>
  <si>
    <t xml:space="preserve">BU, TH</t>
  </si>
  <si>
    <t xml:space="preserve">MED-CYR-06</t>
  </si>
  <si>
    <t xml:space="preserve">S6</t>
  </si>
  <si>
    <t xml:space="preserve">C08</t>
  </si>
  <si>
    <t xml:space="preserve">Intrusion goes undetected because monitoring and triage are insufficient</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</si>
  <si>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</si>
  <si>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All</t>
  </si>
  <si>
    <t xml:space="preserve">Any external actor</t>
  </si>
  <si>
    <t xml:space="preserve">2-person team, alert closed as low severity, log coverage unknown</t>
  </si>
  <si>
    <t xml:space="preserve">Extended dwell time, amplified harm</t>
  </si>
  <si>
    <t xml:space="preserve">MED-CYR-08</t>
  </si>
  <si>
    <t xml:space="preserve">S8</t>
  </si>
  <si>
    <t xml:space="preserve">C09</t>
  </si>
  <si>
    <t xml:space="preserve">Connected medical device used as network foothold</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</si>
  <si>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</si>
  <si>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CJ8</t>
  </si>
  <si>
    <t xml:space="preserve">Unpatched embedded OS, incomplete inventory, weak segmentation</t>
  </si>
  <si>
    <t xml:space="preserve">Device disruption, lateral movement</t>
  </si>
  <si>
    <t xml:space="preserve">I, A</t>
  </si>
  <si>
    <t xml:space="preserve">TD, DP</t>
  </si>
  <si>
    <t xml:space="preserve">MED-CYR-09</t>
  </si>
  <si>
    <t xml:space="preserve">S7</t>
  </si>
  <si>
    <t xml:space="preserve">C10</t>
  </si>
  <si>
    <t xml:space="preserve">DDoS against patient-facing online services</t>
  </si>
  <si>
    <t xml:space="preserve">A hacktivist or extortion group floods MediBec's internet-facing services with traffic, making online appointment booking, patient records access and external communications unavailable for hours or days and pushing volume to clinic phone lines.</t>
  </si>
  <si>
    <t xml:space="preserve">CJ3</t>
  </si>
  <si>
    <t xml:space="preserve">Hacktivist / extortionist</t>
  </si>
  <si>
    <t xml:space="preserve">No DDoS protection evidenced</t>
  </si>
  <si>
    <t xml:space="preserve">Online booking unavailable</t>
  </si>
  <si>
    <t xml:space="preserve">A</t>
  </si>
  <si>
    <t xml:space="preserve">TH</t>
  </si>
  <si>
    <t xml:space="preserve">MED-CYR-10</t>
  </si>
  <si>
    <t xml:space="preserve">S13</t>
  </si>
  <si>
    <t xml:space="preserve">C11</t>
  </si>
  <si>
    <t xml:space="preserve">Staff member exports health or billing records for unauthorized purposes</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</si>
  <si>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</si>
  <si>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CJ1 / CJ4</t>
  </si>
  <si>
    <t xml:space="preserve">Malicious or curious insider</t>
  </si>
  <si>
    <t xml:space="preserve">Broad EHR roles, limited access analytics</t>
  </si>
  <si>
    <t xml:space="preserve">Privacy breach</t>
  </si>
  <si>
    <t xml:space="preserve">TH, TD</t>
  </si>
  <si>
    <t xml:space="preserve">MED-CYR-11</t>
  </si>
  <si>
    <t xml:space="preserve">S5</t>
  </si>
  <si>
    <t xml:space="preserve">C12</t>
  </si>
  <si>
    <t xml:space="preserve">Alteration of patient, medication or billing records</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</si>
  <si>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</si>
  <si>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CJ1 / CJ2</t>
  </si>
  <si>
    <t xml:space="preserve">Attacker or insider</t>
  </si>
  <si>
    <t xml:space="preserve">Limited integrity monitoring and reconciliation</t>
  </si>
  <si>
    <t xml:space="preserve">Unsafe clinical decisions, billing errors</t>
  </si>
  <si>
    <t xml:space="preserve">I</t>
  </si>
  <si>
    <t xml:space="preserve">TD</t>
  </si>
  <si>
    <t xml:space="preserve">MED-CYR-13</t>
  </si>
  <si>
    <t xml:space="preserve">S10</t>
  </si>
  <si>
    <t xml:space="preserve">C13</t>
  </si>
  <si>
    <t xml:space="preserve">Compromise of a vendor with remote access to MediBec systems</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</si>
  <si>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</si>
  <si>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CJ1 / CJ2 / CJ8</t>
  </si>
  <si>
    <t xml:space="preserve">Supply-chain attacker</t>
  </si>
  <si>
    <t xml:space="preserve">Standing vendor access, limited assurance</t>
  </si>
  <si>
    <t xml:space="preserve">Trusted-path intrusion</t>
  </si>
  <si>
    <t xml:space="preserve">DP</t>
  </si>
  <si>
    <t xml:space="preserve">MED-CYR-14</t>
  </si>
  <si>
    <t xml:space="preserve">S9</t>
  </si>
  <si>
    <t xml:space="preserve">C14</t>
  </si>
  <si>
    <t xml:space="preserve">Untested incident response plan causes poor coordination</t>
  </si>
  <si>
    <t xml:space="preserve">An intrusion is detected, but because the incident response plan has never been tested across clinics, roles, decision rights, forensic engagement and clinical workarounds are improvised, extending containment and amplifying privacy and operational harm.</t>
  </si>
  <si>
    <t xml:space="preserve">Any incident</t>
  </si>
  <si>
    <t xml:space="preserve">No tabletop evidence across clinics</t>
  </si>
  <si>
    <t xml:space="preserve">Slow, uncoordinated response</t>
  </si>
  <si>
    <t xml:space="preserve">C, A</t>
  </si>
  <si>
    <t xml:space="preserve">MED-CYR-15</t>
  </si>
  <si>
    <t xml:space="preserve">-</t>
  </si>
  <si>
    <t xml:space="preserve">C15</t>
  </si>
  <si>
    <t xml:space="preserve">Over-privileged service account (ehr-sync-svc) abused for mass extraction</t>
  </si>
  <si>
    <t xml:space="preserve">An attacker or insider uses the over-privileged ehr-sync-svc service account, whose credentials are stored in scripts and not vaulted, to query and extract large volumes of EHR records at night without triggering review.</t>
  </si>
  <si>
    <t xml:space="preserve">CJ1</t>
  </si>
  <si>
    <t xml:space="preserve">External attacker or insider</t>
  </si>
  <si>
    <t xml:space="preserve">Service account privileges, no vaulting</t>
  </si>
  <si>
    <t xml:space="preserve">Mass PHI extraction</t>
  </si>
  <si>
    <t xml:space="preserve">Evidence E6</t>
  </si>
  <si>
    <t xml:space="preserve">C16</t>
  </si>
  <si>
    <t xml:space="preserve">Montreal data centre or WAN outage isolates all clinics</t>
  </si>
  <si>
    <t xml:space="preserve">A carrier failure, cyberattack on network devices or data-centre incident takes the Montreal hub or WAN offline; because clinics depend on a single hub without tested redundancy or local fallback, EHR, imaging, lab and pharmacy access is lost at all ten clinics simultaneously.</t>
  </si>
  <si>
    <t xml:space="preserve">Accidental / environmental</t>
  </si>
  <si>
    <t xml:space="preserve">Single hub dependency</t>
  </si>
  <si>
    <t xml:space="preserve">Enterprise-wide outage</t>
  </si>
  <si>
    <t xml:space="preserve">DP, TD</t>
  </si>
  <si>
    <t xml:space="preserve">Annex B #49</t>
  </si>
  <si>
    <t xml:space="preserve">S16</t>
  </si>
  <si>
    <t xml:space="preserve">C17</t>
  </si>
  <si>
    <t xml:space="preserve">Unmanaged copies on local clinic storage units exposed</t>
  </si>
  <si>
    <t xml:space="preserve">Patient exports, scanned documents and imaging copies accumulate on local clinic storage units outside central access control, retention and monitoring; an insider, intruder or misconfigured share exposes them, or they are lost without backup.</t>
  </si>
  <si>
    <t xml:space="preserve">Clinic storage</t>
  </si>
  <si>
    <t xml:space="preserve">Theft / insider</t>
  </si>
  <si>
    <t xml:space="preserve">Data sprawl, local storage outside central controls</t>
  </si>
  <si>
    <t xml:space="preserve">Local data breach</t>
  </si>
  <si>
    <t xml:space="preserve">BU, DP</t>
  </si>
  <si>
    <t xml:space="preserve">Annex B #55</t>
  </si>
  <si>
    <t xml:space="preserve">S17</t>
  </si>
  <si>
    <t xml:space="preserve">C18</t>
  </si>
  <si>
    <t xml:space="preserve">Business e-mail compromise diverts billing payments</t>
  </si>
  <si>
    <t xml:space="preserve">A fraudster spoofs or compromises a supplier or executive mailbox and instructs MediBec finance staff to change bank details or pay a fraudulent invoice, because payment-change verification and e-mail authentication are weak, resulting in direct financial loss.</t>
  </si>
  <si>
    <t xml:space="preserve">CJ4</t>
  </si>
  <si>
    <t xml:space="preserve">Fraudster</t>
  </si>
  <si>
    <t xml:space="preserve">Weak payment verification</t>
  </si>
  <si>
    <t xml:space="preserve">Financial loss</t>
  </si>
  <si>
    <t xml:space="preserve">Annex B #71</t>
  </si>
  <si>
    <t xml:space="preserve">S14</t>
  </si>
  <si>
    <t xml:space="preserve">C19</t>
  </si>
  <si>
    <t xml:space="preserve">Lost or stolen tablet or handheld with patient data</t>
  </si>
  <si>
    <t xml:space="preserve">A clinician's tablet or handheld used for EHR access is lost or stolen; because device encryption, screen lock and remote wipe are not centrally enforced, patient data cached on the device or accessible through saved sessions is exposed.</t>
  </si>
  <si>
    <t xml:space="preserve">Endpoints</t>
  </si>
  <si>
    <t xml:space="preserve">Opportunistic thief</t>
  </si>
  <si>
    <t xml:space="preserve">Mobile device management not evidenced</t>
  </si>
  <si>
    <t xml:space="preserve">Limited data exposure</t>
  </si>
  <si>
    <t xml:space="preserve">Annex B #7</t>
  </si>
  <si>
    <t xml:space="preserve">S15</t>
  </si>
  <si>
    <t xml:space="preserve">C20</t>
  </si>
  <si>
    <t xml:space="preserve">MFA push-fatigue bypass of remote access</t>
  </si>
  <si>
    <t xml:space="preserve">An attacker holding a stolen password floods a clinician with MFA push requests until one is approved, taking over a remote-access session and reaching the EHR.</t>
  </si>
  <si>
    <t xml:space="preserve">CJ5</t>
  </si>
  <si>
    <t xml:space="preserve">Push approval without number matching</t>
  </si>
  <si>
    <t xml:space="preserve">Account takeover</t>
  </si>
  <si>
    <t xml:space="preserve">C21</t>
  </si>
  <si>
    <t xml:space="preserve">Authorization flaw in patient portal exposes other patients' records</t>
  </si>
  <si>
    <t xml:space="preserve">An attacker, or a curious patient, exploits an authorization flaw (insecure direct object reference) or injection weakness in MediBec's online records-access or booking application, retrieving other patients' records at scale.</t>
  </si>
  <si>
    <t xml:space="preserve">CJ3 / CJ1</t>
  </si>
  <si>
    <t xml:space="preserve">External actor / patient</t>
  </si>
  <si>
    <t xml:space="preserve">No app testing or WAF</t>
  </si>
  <si>
    <t xml:space="preserve">Bulk record exposure</t>
  </si>
  <si>
    <t xml:space="preserve">Annex B #171</t>
  </si>
  <si>
    <t xml:space="preserve">S18</t>
  </si>
  <si>
    <t xml:space="preserve">C22</t>
  </si>
  <si>
    <t xml:space="preserve">Trojanized software update from a supplier</t>
  </si>
  <si>
    <t xml:space="preserve">A threat actor compromises the build or update infrastructure of software used by MediBec (EHR component, imaging viewer, remote-management tool) and distributes a signed malicious update, which MediBec installs automatically, giving the actor a foothold across many systems at once.</t>
  </si>
  <si>
    <t xml:space="preserve">Many hosts</t>
  </si>
  <si>
    <t xml:space="preserve">Supply-chain actor</t>
  </si>
  <si>
    <t xml:space="preserve">Automatic updates, no supplier assurance</t>
  </si>
  <si>
    <t xml:space="preserve">Enterprise foothold</t>
  </si>
  <si>
    <t xml:space="preserve">DP, TH</t>
  </si>
  <si>
    <t xml:space="preserve">Annex B #40</t>
  </si>
  <si>
    <t xml:space="preserve">S19</t>
  </si>
  <si>
    <t xml:space="preserve">C23</t>
  </si>
  <si>
    <t xml:space="preserve">Cloud tenant takeover via token theft or consent phishing</t>
  </si>
  <si>
    <t xml:space="preserve">An attacker steals a session token or tricks a cloud administrator into granting consent to a malicious application, obtaining persistent control of MediBec's cloud tenant, from which they read mail and files, create backdoor accounts and disable logging.</t>
  </si>
  <si>
    <t xml:space="preserve">CJ5 / CJ7</t>
  </si>
  <si>
    <t xml:space="preserve">Token not device-bound; user consent allowed</t>
  </si>
  <si>
    <t xml:space="preserve">Tenant-wide control</t>
  </si>
  <si>
    <t xml:space="preserve">TH, DP</t>
  </si>
  <si>
    <t xml:space="preserve">Annex B #29</t>
  </si>
  <si>
    <t xml:space="preserve">S20</t>
  </si>
  <si>
    <t xml:space="preserve">C24</t>
  </si>
  <si>
    <t xml:space="preserve">Misdirected e-mail/fax or wrong-patient disclosure</t>
  </si>
  <si>
    <t xml:space="preserve">A staff member unintentionally discloses patient information - misdirected e-mail or fax, wrong attachment, record uploaded to a personal cloud, or document handed to the wrong patient - because data-handling controls and awareness are limited, resulting in privacy incidents and patient complaints.</t>
  </si>
  <si>
    <t xml:space="preserve">Negligent insider</t>
  </si>
  <si>
    <t xml:space="preserve">No DLP, manual referrals</t>
  </si>
  <si>
    <t xml:space="preserve">Privacy incident</t>
  </si>
  <si>
    <t xml:space="preserve">Annex B #14</t>
  </si>
  <si>
    <t xml:space="preserve">S21</t>
  </si>
  <si>
    <t xml:space="preserve">C25</t>
  </si>
  <si>
    <t xml:space="preserve">Teleconsultation or clinical messaging intercepted</t>
  </si>
  <si>
    <t xml:space="preserve">An outsider joins or records a teleconsultation through an open meeting link, or intercepts clinical messages sent through unapproved or poorly configured communication tools, exposing sensitive consultations.</t>
  </si>
  <si>
    <t xml:space="preserve">Communications</t>
  </si>
  <si>
    <t xml:space="preserve">Opportunistic intruder</t>
  </si>
  <si>
    <t xml:space="preserve">Open meeting links, consumer apps</t>
  </si>
  <si>
    <t xml:space="preserve">Sensitive disclosure</t>
  </si>
  <si>
    <t xml:space="preserve">Annex B #146</t>
  </si>
  <si>
    <t xml:space="preserve">S22</t>
  </si>
  <si>
    <t xml:space="preserve">C26</t>
  </si>
  <si>
    <t xml:space="preserve">Exposed admin interfaces attacked with stuffed/default credentials</t>
  </si>
  <si>
    <t xml:space="preserve">An attacker finds management interfaces (remote desktop, hypervisor or firewall consoles, storage or out-of-band management) exposed to the internet or partner networks and gains access by credential stuffing or default passwords, obtaining administrative control of infrastructure.</t>
  </si>
  <si>
    <t xml:space="preserve">Internet-exposed management ports</t>
  </si>
  <si>
    <t xml:space="preserve">Infrastructure takeover</t>
  </si>
  <si>
    <t xml:space="preserve">GL, BU</t>
  </si>
  <si>
    <t xml:space="preserve">Annex B #82, #90</t>
  </si>
  <si>
    <t xml:space="preserve">S23</t>
  </si>
  <si>
    <t xml:space="preserve">C27</t>
  </si>
  <si>
    <t xml:space="preserve">Malware on patient-supplied imaging media</t>
  </si>
  <si>
    <t xml:space="preserve">Malware on a patient-supplied imaging CD/USB or a staff USB drive executes on a radiology workstation or device console when the media is loaded, infecting systems that are poorly protected by endpoint security and connected to the clinical network.</t>
  </si>
  <si>
    <t xml:space="preserve">CJ2 / CJ8</t>
  </si>
  <si>
    <t xml:space="preserve">Commodity malware</t>
  </si>
  <si>
    <t xml:space="preserve">Media import without scanning</t>
  </si>
  <si>
    <t xml:space="preserve">Imaging downtime</t>
  </si>
  <si>
    <t xml:space="preserve">Annex B #168</t>
  </si>
  <si>
    <t xml:space="preserve">S24</t>
  </si>
  <si>
    <t xml:space="preserve">C28</t>
  </si>
  <si>
    <t xml:space="preserve">Data left on disposed devices and leased equipment</t>
  </si>
  <si>
    <t xml:space="preserve">Workstations, drives, printers, storage units or medical equipment are returned to lessors, sold or recycled without certified data sanitization, and a third party recovers patient data from them.</t>
  </si>
  <si>
    <t xml:space="preserve">Retired assets</t>
  </si>
  <si>
    <t xml:space="preserve">Downstream buyer</t>
  </si>
  <si>
    <t xml:space="preserve">No certified sanitization</t>
  </si>
  <si>
    <t xml:space="preserve">Annex B #138</t>
  </si>
  <si>
    <t xml:space="preserve">S25</t>
  </si>
  <si>
    <t xml:space="preserve">C29</t>
  </si>
  <si>
    <t xml:space="preserve">Patient data pasted into public generative-AI tools</t>
  </si>
  <si>
    <t xml:space="preserve">Clinicians and administrative staff use public generative-AI tools to summarize notes, draft letters or translate documents, pasting identifiable patient information into services whose data retention, training use and location MediBec has not assessed, resulting in uncontrolled disclosure of health information.</t>
  </si>
  <si>
    <t xml:space="preserve">Well-intentioned insider</t>
  </si>
  <si>
    <t xml:space="preserve">No AI policy or controls</t>
  </si>
  <si>
    <t xml:space="preserve">Uncontrolled disclosure</t>
  </si>
  <si>
    <t xml:space="preserve">Annex B #141</t>
  </si>
  <si>
    <t xml:space="preserve">S26</t>
  </si>
  <si>
    <t xml:space="preserve">C30</t>
  </si>
  <si>
    <t xml:space="preserve">Help-desk vishing leads to MFA reset</t>
  </si>
  <si>
    <t xml:space="preserve">An attacker phones the IT help desk impersonating a clinician or manager, uses publicly available details to pass weak identity checks, and has the password and MFA device reset, taking over the account and accessing EHR and remote access.</t>
  </si>
  <si>
    <t xml:space="preserve">Social engineer</t>
  </si>
  <si>
    <t xml:space="preserve">Weak reset verification</t>
  </si>
  <si>
    <t xml:space="preserve">Annex B #96</t>
  </si>
  <si>
    <t xml:space="preserve">S27</t>
  </si>
  <si>
    <t xml:space="preserve">C31</t>
  </si>
  <si>
    <t xml:space="preserve">Malicious or departing IT admin sabotage</t>
  </si>
  <si>
    <t xml:space="preserve">A disgruntled or departing IT administrator with broad standing privileges deletes backups, disables accounts or plants logic bombs; with a 15-person IT team and concentrated knowledge, MediBec cannot quickly detect or reverse the actions, causing prolonged outages.</t>
  </si>
  <si>
    <t xml:space="preserve">Privileged insider</t>
  </si>
  <si>
    <t xml:space="preserve">Standing privileges, weak offboarding</t>
  </si>
  <si>
    <t xml:space="preserve">Destructive outage</t>
  </si>
  <si>
    <t xml:space="preserve">Annex B #15</t>
  </si>
  <si>
    <t xml:space="preserve">S28</t>
  </si>
  <si>
    <t xml:space="preserve">Interception/tampering of HL7/DICOM traffic</t>
  </si>
  <si>
    <t xml:space="preserve">An attacker positioned on the clinic network or WAN captures or alters unencrypted HL7 lab/pharmacy messages or DICOM image transfers between clinical systems, exposing results or injecting false values that flow into the EHR.</t>
  </si>
  <si>
    <t xml:space="preserve">CJ2</t>
  </si>
  <si>
    <t xml:space="preserve">Attacker with internal position</t>
  </si>
  <si>
    <t xml:space="preserve">Cleartext interfaces</t>
  </si>
  <si>
    <t xml:space="preserve">Wrong results</t>
  </si>
  <si>
    <t xml:space="preserve">Annex B #153</t>
  </si>
  <si>
    <t xml:space="preserve">S29</t>
  </si>
  <si>
    <t xml:space="preserve">C33</t>
  </si>
  <si>
    <t xml:space="preserve">Look-alike domains and smishing targeting patients</t>
  </si>
  <si>
    <t xml:space="preserve">Fraudsters register look-alike domains and send SMS or e-mail messages posing as MediBec (appointment confirmations, billing notices, results available) to harvest patients' credentials, health-card details or payments, harming patients and eroding trust even though MediBec's systems are not breached.</t>
  </si>
  <si>
    <t xml:space="preserve">Patient trust</t>
  </si>
  <si>
    <t xml:space="preserve">Fraud group</t>
  </si>
  <si>
    <t xml:space="preserve">No brand monitoring, DMARC unknown</t>
  </si>
  <si>
    <t xml:space="preserve">Patient fraud</t>
  </si>
  <si>
    <t xml:space="preserve">Appendix A</t>
  </si>
  <si>
    <t xml:space="preserve">S30</t>
  </si>
  <si>
    <t xml:space="preserve">C34</t>
  </si>
  <si>
    <t xml:space="preserve">Mass encryption of hypervisors</t>
  </si>
  <si>
    <t xml:space="preserve">A ransomware operator with administrative access encrypts the virtualization hosts in the Montreal data centre, taking down all hosted clinical and administrative servers at once.</t>
  </si>
  <si>
    <t xml:space="preserve">Hypervisor management reachable</t>
  </si>
  <si>
    <t xml:space="preserve">Outage</t>
  </si>
  <si>
    <t xml:space="preserve">Annex B #44</t>
  </si>
  <si>
    <t xml:space="preserve">C35</t>
  </si>
  <si>
    <t xml:space="preserve">Active Directory misconfiguration enables domain takeover</t>
  </si>
  <si>
    <t xml:space="preserve">An intruder exploits Active Directory misconfigurations (Kerberoastable service accounts, excessive delegation) to obtain domain-administrator rights, enabling enterprise-wide compromise.</t>
  </si>
  <si>
    <t xml:space="preserve">Any intruder</t>
  </si>
  <si>
    <t xml:space="preserve">No AD audits</t>
  </si>
  <si>
    <t xml:space="preserve">Domain dominance</t>
  </si>
  <si>
    <t xml:space="preserve">Annex B #186</t>
  </si>
  <si>
    <t xml:space="preserve">C36</t>
  </si>
  <si>
    <t xml:space="preserve">End-of-support workstation operating systems in clinics</t>
  </si>
  <si>
    <t xml:space="preserve">Clinic workstations running an unsupported operating system are compromised by commodity malware exploiting unpatched flaws, providing footholds on networks that reach the EHR.</t>
  </si>
  <si>
    <t xml:space="preserve">Unsupported OS</t>
  </si>
  <si>
    <t xml:space="preserve">Exploitation</t>
  </si>
  <si>
    <t xml:space="preserve">Annex B #79</t>
  </si>
  <si>
    <t xml:space="preserve">C37</t>
  </si>
  <si>
    <t xml:space="preserve">Cryptomining on cloud or server resources</t>
  </si>
  <si>
    <t xml:space="preserve">An attacker abuses weak cloud or server controls to run cryptomining workloads, increasing costs and degrading performance of shared resources.</t>
  </si>
  <si>
    <t xml:space="preserve">Weak cloud controls</t>
  </si>
  <si>
    <t xml:space="preserve">Cost, slowdown</t>
  </si>
  <si>
    <t xml:space="preserve">Annex B #48</t>
  </si>
  <si>
    <t xml:space="preserve">C38</t>
  </si>
  <si>
    <t xml:space="preserve">Skimming on online payment page</t>
  </si>
  <si>
    <t xml:space="preserve">A malicious script injected into an online payment page captures patients' card details during online payments.</t>
  </si>
  <si>
    <t xml:space="preserve">Online payments</t>
  </si>
  <si>
    <t xml:space="preserve">Third-party scripts</t>
  </si>
  <si>
    <t xml:space="preserve">Card theft</t>
  </si>
  <si>
    <t xml:space="preserve">Annex B #63</t>
  </si>
  <si>
    <t xml:space="preserve">C39</t>
  </si>
  <si>
    <t xml:space="preserve">Physical intrusion into clinic server closet</t>
  </si>
  <si>
    <t xml:space="preserve">An intruder enters an unsecured clinic server closet and steals or tampers with the local storage unit or network equipment.</t>
  </si>
  <si>
    <t xml:space="preserve">Clinic equipment</t>
  </si>
  <si>
    <t xml:space="preserve">Thief / intruder</t>
  </si>
  <si>
    <t xml:space="preserve">Weak physical controls</t>
  </si>
  <si>
    <t xml:space="preserve">Theft, tampering</t>
  </si>
  <si>
    <t xml:space="preserve">Annex B #121</t>
  </si>
  <si>
    <t xml:space="preserve">C40</t>
  </si>
  <si>
    <t xml:space="preserve">Insufficient logs to prove breach scope</t>
  </si>
  <si>
    <t xml:space="preserve">Because log sources and retention are insufficient, MediBec cannot determine what data an intruder accessed, forcing broad notification and weakening its regulatory position.</t>
  </si>
  <si>
    <t xml:space="preserve">Short retention</t>
  </si>
  <si>
    <t xml:space="preserve">Unprovable scope</t>
  </si>
  <si>
    <t xml:space="preserve">Annex B #140</t>
  </si>
  <si>
    <t xml:space="preserve">C41</t>
  </si>
  <si>
    <t xml:space="preserve">Clinician mailbox compromise used to harvest PHI</t>
  </si>
  <si>
    <t xml:space="preserve">An attacker compromises a clinician's mailbox through phishing and harvests patient information exchanged by e-mail, then uses the mailbox for internal phishing.</t>
  </si>
  <si>
    <t xml:space="preserve">Mail</t>
  </si>
  <si>
    <t xml:space="preserve">Push MFA</t>
  </si>
  <si>
    <t xml:space="preserve">Breach</t>
  </si>
  <si>
    <t xml:space="preserve">Annex B #33</t>
  </si>
  <si>
    <t xml:space="preserve">C42</t>
  </si>
  <si>
    <t xml:space="preserve">AI scribe SaaS mishandles recordings</t>
  </si>
  <si>
    <t xml:space="preserve">An AI transcription (ambient scribe) SaaS used by clinicians retains or reuses recorded consultations in ways MediBec has not assessed, causing unauthorized disclosure of health information.</t>
  </si>
  <si>
    <t xml:space="preserve">Third party</t>
  </si>
  <si>
    <t xml:space="preserve">Unassessed vendor</t>
  </si>
  <si>
    <t xml:space="preserve">C43</t>
  </si>
  <si>
    <t xml:space="preserve">Building IoT or CCTV used as foothold</t>
  </si>
  <si>
    <t xml:space="preserve">A building IoT device or CCTV camera on the clinic network is compromised and used as an unmanaged foothold to reach clinical systems.</t>
  </si>
  <si>
    <t xml:space="preserve">Unmanaged IoT</t>
  </si>
  <si>
    <t xml:space="preserve">Foothold</t>
  </si>
  <si>
    <t xml:space="preserve">Annex B #43</t>
  </si>
  <si>
    <t xml:space="preserve">C44</t>
  </si>
  <si>
    <t xml:space="preserve">Excessive data retention amplifies breach size</t>
  </si>
  <si>
    <t xml:space="preserve">Because health information is retained beyond need across systems, a breach of any store exposes far more patient records than necessary, increasing notification and harm.</t>
  </si>
  <si>
    <t xml:space="preserve">All data</t>
  </si>
  <si>
    <t xml:space="preserve">N/A (amplifier)</t>
  </si>
  <si>
    <t xml:space="preserve">No retention schedule</t>
  </si>
  <si>
    <t xml:space="preserve">Larger breaches</t>
  </si>
  <si>
    <t xml:space="preserve">Annex B #74</t>
  </si>
  <si>
    <t xml:space="preserve">C45</t>
  </si>
  <si>
    <t xml:space="preserve">Firewall single point of failure</t>
  </si>
  <si>
    <t xml:space="preserve">Failure of the single primary firewall pair at the Montreal hub interrupts connectivity for all clinics until hardware is replaced.</t>
  </si>
  <si>
    <t xml:space="preserve">Accidental / attacker</t>
  </si>
  <si>
    <t xml:space="preserve">No redundancy</t>
  </si>
  <si>
    <t xml:space="preserve">Annex B #5</t>
  </si>
  <si>
    <t xml:space="preserve">Section C - Criteria weighting schemes (sensitivity, Instruction s.20)</t>
  </si>
  <si>
    <t xml:space="preserve">Blue cells are editable; screening and sensitivity recalculate.</t>
  </si>
  <si>
    <t xml:space="preserve">Code</t>
  </si>
  <si>
    <t xml:space="preserve">Criterion</t>
  </si>
  <si>
    <t xml:space="preserve">Question</t>
  </si>
  <si>
    <t xml:space="preserve">Equal</t>
  </si>
  <si>
    <t xml:space="preserve">Impact-led</t>
  </si>
  <si>
    <t xml:space="preserve">Evidence-led</t>
  </si>
  <si>
    <t xml:space="preserve">Decision-led</t>
  </si>
  <si>
    <t xml:space="preserve">BC</t>
  </si>
  <si>
    <t xml:space="preserve">Business criticality</t>
  </si>
  <si>
    <t xml:space="preserve">Does the scenario threaten an important objective or critical process?</t>
  </si>
  <si>
    <t xml:space="preserve">AC</t>
  </si>
  <si>
    <t xml:space="preserve">Asset criticality</t>
  </si>
  <si>
    <t xml:space="preserve">Does it affect high-value information, technology, services or infrastructure?</t>
  </si>
  <si>
    <t xml:space="preserve">TR</t>
  </si>
  <si>
    <t xml:space="preserve">Threat relevance</t>
  </si>
  <si>
    <t xml:space="preserve">Is the threat credible for this organization and sector?</t>
  </si>
  <si>
    <t xml:space="preserve">EX</t>
  </si>
  <si>
    <t xml:space="preserve">Exposure / vulnerability</t>
  </si>
  <si>
    <t xml:space="preserve">Are there plausible weaknesses or predisposing conditions?</t>
  </si>
  <si>
    <t xml:space="preserve">IM</t>
  </si>
  <si>
    <t xml:space="preserve">Potential impact</t>
  </si>
  <si>
    <t xml:space="preserve">Could consequences materially affect the organization?</t>
  </si>
  <si>
    <t xml:space="preserve">RL</t>
  </si>
  <si>
    <t xml:space="preserve">Regulatory / legal</t>
  </si>
  <si>
    <t xml:space="preserve">Could it create important compliance, privacy, contractual or legal consequences?</t>
  </si>
  <si>
    <t xml:space="preserve">OR</t>
  </si>
  <si>
    <t xml:space="preserve">Operational resilience</t>
  </si>
  <si>
    <t xml:space="preserve">Could it disrupt critical services or create cascading failures?</t>
  </si>
  <si>
    <t xml:space="preserve">DC</t>
  </si>
  <si>
    <t xml:space="preserve">Dependency / concentration</t>
  </si>
  <si>
    <t xml:space="preserve">Does it involve important third parties or single points of failure?</t>
  </si>
  <si>
    <t xml:space="preserve">EV</t>
  </si>
  <si>
    <t xml:space="preserve">Evidence strength</t>
  </si>
  <si>
    <t xml:space="preserve">Is there organizational, technical, historical, sector or threat-intelligence evidence?</t>
  </si>
  <si>
    <t xml:space="preserve">RV</t>
  </si>
  <si>
    <t xml:space="preserve">Risk velocity</t>
  </si>
  <si>
    <t xml:space="preserve">Could material consequences develop rapidly?</t>
  </si>
  <si>
    <t xml:space="preserve">CU</t>
  </si>
  <si>
    <t xml:space="preserve">Control uncertainty</t>
  </si>
  <si>
    <t xml:space="preserve">Is it uncertain whether existing controls would prevent or contain it?</t>
  </si>
  <si>
    <t xml:space="preserve">DU</t>
  </si>
  <si>
    <t xml:space="preserve">Decision usefulness</t>
  </si>
  <si>
    <t xml:space="preserve">Would analysing it potentially change a management decision?</t>
  </si>
  <si>
    <t xml:space="preserve">Section C - Screening matrix (scores 1-5; blue = editable)</t>
  </si>
  <si>
    <t xml:space="preserve">Total and weighted scores are screening aids only. Escalation flags: S = Human safety; ES = Essential service interruption; CD = Catastrophic data loss; SY = Systemic organizational failure; PV = Severe privacy consequences; RG = Major regulatory breach; FN = Existential financial loss; PI = Compromise of highly privileged infrastructure; BK = Destruction of backup/recovery; PR = Simultaneous failure of primary and recovery; SC = Critical supply-chain concentration; MU = Spread across multiple units/clinics</t>
  </si>
  <si>
    <t xml:space="preserve">Scenario</t>
  </si>
  <si>
    <t xml:space="preserve">Total (/60)</t>
  </si>
  <si>
    <t xml:space="preserve">Weighted - Equal</t>
  </si>
  <si>
    <t xml:space="preserve">Weighted - Impact-led</t>
  </si>
  <si>
    <t xml:space="preserve">Weighted - Evidence-led</t>
  </si>
  <si>
    <t xml:space="preserve">Weighted - Decision-led</t>
  </si>
  <si>
    <t xml:space="preserve">Rank (equal)</t>
  </si>
  <si>
    <t xml:space="preserve">Escalation flags</t>
  </si>
  <si>
    <t xml:space="preserve"># flags</t>
  </si>
  <si>
    <t xml:space="preserve">Evidence basis</t>
  </si>
  <si>
    <t xml:space="preserve">Selection confidence</t>
  </si>
  <si>
    <t xml:space="preserve">Disposition</t>
  </si>
  <si>
    <t xml:space="preserve">Family / target</t>
  </si>
  <si>
    <t xml:space="preserve">Rationale for scores and disposition</t>
  </si>
  <si>
    <t xml:space="preserve">Family key</t>
  </si>
  <si>
    <t xml:space="preserve">PV, PI, MU</t>
  </si>
  <si>
    <t xml:space="preserve">Verified org evidence (exercise) + sector</t>
  </si>
  <si>
    <t xml:space="preserve">High</t>
  </si>
  <si>
    <t xml:space="preserve">Select</t>
  </si>
  <si>
    <t xml:space="preserve">P01</t>
  </si>
  <si>
    <t xml:space="preserve">High: phishing targeting clinic/billing staff observed (E6) and push MFA approved from unusual geography; identity gates every crown jewel. Lower: direct operational impact limited unless escalated.</t>
  </si>
  <si>
    <t xml:space="preserve">S, ES, CD, SY, PV, RG, BK, MU</t>
  </si>
  <si>
    <t xml:space="preserve">P02</t>
  </si>
  <si>
    <t xml:space="preserve">High on all dimensions: network-wide clinical disruption, data theft, velocity of hours; full chain visible in exercise timeline (E6). Evidence 4: chain is simulated, not a confirmed incident.</t>
  </si>
  <si>
    <t xml:space="preserve">CD, BK, PR</t>
  </si>
  <si>
    <t xml:space="preserve">Verified org evidence (exercise)</t>
  </si>
  <si>
    <t xml:space="preserve">Medium</t>
  </si>
  <si>
    <t xml:space="preserve">Consolidate</t>
  </si>
  <si>
    <t xml:space="preserve">Backup failures before encryption (E6) and no isolation evidence; defeats recovery of every service. Stage of C02 rather than independent exposure.</t>
  </si>
  <si>
    <t xml:space="preserve">PV, RG</t>
  </si>
  <si>
    <t xml:space="preserve">P07</t>
  </si>
  <si>
    <t xml:space="preserve">External download of medical_image_export.zip (E6); bulk PHI; high regulatory weight. Limited operational impact.</t>
  </si>
  <si>
    <t xml:space="preserve">PV</t>
  </si>
  <si>
    <t xml:space="preserve">Assumption + sector</t>
  </si>
  <si>
    <t xml:space="preserve">Low</t>
  </si>
  <si>
    <t xml:space="preserve">Plausible where in-house development exists (E3) but repositories and secret practices unknown - evidence weak.</t>
  </si>
  <si>
    <t xml:space="preserve">P04</t>
  </si>
  <si>
    <t xml:space="preserve">Wireless controls listed for audit (E7) with no evidence either way; consequence arises mainly as an entry path to other scenarios.</t>
  </si>
  <si>
    <t xml:space="preserve">PI, MU</t>
  </si>
  <si>
    <t xml:space="preserve">External/sector + case</t>
  </si>
  <si>
    <t xml:space="preserve">P03</t>
  </si>
  <si>
    <t xml:space="preserve">Edge-device exploitation is a leading sector vector; patching lag documented (E3, E7); high velocity. Exposure inventory unknown.</t>
  </si>
  <si>
    <t xml:space="preserve">SY, MU</t>
  </si>
  <si>
    <t xml:space="preserve">Verified org evidence (case + exercise)</t>
  </si>
  <si>
    <t xml:space="preserve">Strong evidence: 2-person team, PowerShell alert closed, uncorrelated signals (E3, E6). A control condition that amplifies other scenarios rather than a distinct threat chain.</t>
  </si>
  <si>
    <t xml:space="preserve">S, ES</t>
  </si>
  <si>
    <t xml:space="preserve">Case + external/sector</t>
  </si>
  <si>
    <t xml:space="preserve">Only direct patient-safety path via equipment; inventory and segmentation unknown (E4); certification constrains patching. Threat frequency lower than IT-focused attacks.</t>
  </si>
  <si>
    <t xml:space="preserve">Defer</t>
  </si>
  <si>
    <t xml:space="preserve">Watch list</t>
  </si>
  <si>
    <t xml:space="preserve">Fast-moving but clinics continue in person; low regulatory weight; online-service criticality not documented.</t>
  </si>
  <si>
    <t xml:space="preserve">P06</t>
  </si>
  <si>
    <t xml:space="preserve">Insider snooping is recurrent in healthcare; EHR access central (E7); high privacy weight. Little operational impact.</t>
  </si>
  <si>
    <t xml:space="preserve">S</t>
  </si>
  <si>
    <t xml:space="preserve">P05</t>
  </si>
  <si>
    <t xml:space="preserve">Severe patient-safety and regulatory consequence; integrity controls absent (E8). Threat relevance and evidence low - classic low-frequency/high-consequence.</t>
  </si>
  <si>
    <t xml:space="preserve">SC, PI, MU</t>
  </si>
  <si>
    <t xml:space="preserve">P08</t>
  </si>
  <si>
    <t xml:space="preserve">Multiple critical vendors (EHR, devices, cloud) with no assurance evidenced (E7); supplier concentration; outside MediBec's direct control.</t>
  </si>
  <si>
    <t xml:space="preserve">SY</t>
  </si>
  <si>
    <t xml:space="preserve">Case (scenario library)</t>
  </si>
  <si>
    <t xml:space="preserve">IR untested (MED-CYR-15); amplifier rather than distinct scenario; decisions overlap with C08.</t>
  </si>
  <si>
    <t xml:space="preserve">PV, PI</t>
  </si>
  <si>
    <t xml:space="preserve">Direct evidence of unusual ehr-sync-svc queries (E6); same control family and owner as C11.</t>
  </si>
  <si>
    <t xml:space="preserve">S, ES, SY, MU</t>
  </si>
  <si>
    <t xml:space="preserve">Case architecture + assumption</t>
  </si>
  <si>
    <t xml:space="preserve">P09</t>
  </si>
  <si>
    <t xml:space="preserve">Single hub serves all clinics (E2); no alternate site evidenced; enterprise-wide availability loss; partly non-malicious.</t>
  </si>
  <si>
    <t xml:space="preserve">Local storage exists (E2) and data sprawl is an open question (E4); moderate consequence per clinic.</t>
  </si>
  <si>
    <t xml:space="preserve">External/sector + exercise</t>
  </si>
  <si>
    <t xml:space="preserve">Watch list - standard finance controls</t>
  </si>
  <si>
    <t xml:space="preserve">Frequent fraud type; billing staff targeted (E6); consequence financial and bounded; standard process controls.</t>
  </si>
  <si>
    <t xml:space="preserve">Standard control (MDM)</t>
  </si>
  <si>
    <t xml:space="preserve">Near-certain occurrence but small data volume; standard MDM control; little decision value.</t>
  </si>
  <si>
    <t xml:space="preserve">PI</t>
  </si>
  <si>
    <t xml:space="preserve">Directly evidenced (E6); same exposure and treatment as C01.</t>
  </si>
  <si>
    <t xml:space="preserve">Assumption / unknown</t>
  </si>
  <si>
    <t xml:space="preserve">Consider</t>
  </si>
  <si>
    <t xml:space="preserve">Promote if a patient portal is confirmed</t>
  </si>
  <si>
    <t xml:space="preserve">High consequence if a patient portal exists, but its existence is only inferred from 'records access' (E8) - evidence very weak.</t>
  </si>
  <si>
    <t xml:space="preserve">SC, SY, MU</t>
  </si>
  <si>
    <t xml:space="preserve">Rare but enterprise-wide; supplier concentration; prevention largely outside MediBec's control.</t>
  </si>
  <si>
    <t xml:space="preserve">PI, PV, MU</t>
  </si>
  <si>
    <t xml:space="preserve">Control-plane takeover with tenant-wide consequence; token theft bypasses push MFA; cloud logging unknown (E4).</t>
  </si>
  <si>
    <t xml:space="preserve">P10</t>
  </si>
  <si>
    <t xml:space="preserve">Very frequent human error; limited individual impact; privacy register obligations.</t>
  </si>
  <si>
    <t xml:space="preserve">Information gap - telehealth use</t>
  </si>
  <si>
    <t xml:space="preserve">Telehealth use not documented; limited consequence.</t>
  </si>
  <si>
    <t xml:space="preserve">High consequence and velocity if interfaces are exposed; exposure unknown.</t>
  </si>
  <si>
    <t xml:space="preserve">Healthcare-specific path into imaging; consequence overlaps device scenario.</t>
  </si>
  <si>
    <t xml:space="preserve">Standard control (disposal)</t>
  </si>
  <si>
    <t xml:space="preserve">Lifecycle gap; cheap fix; low decision value.</t>
  </si>
  <si>
    <t xml:space="preserve">External/sector + assumption</t>
  </si>
  <si>
    <t xml:space="preserve">Near-certain staff use of public AI by 2026; no policy or controls; systemic privacy and regulatory exposure; unique decisions (policy, sanctioned tool).</t>
  </si>
  <si>
    <t xml:space="preserve">Bypasses MFA investments; process weakness unknown; same identity exposure as C01 with different control.</t>
  </si>
  <si>
    <t xml:space="preserve">PI, BK, PR, SY</t>
  </si>
  <si>
    <t xml:space="preserve">Watch list - explicit management review (escalation flags)</t>
  </si>
  <si>
    <t xml:space="preserve">Extreme availability and recoverability consequence; low frequency; standing privileges and key-person dependency (E3).</t>
  </si>
  <si>
    <t xml:space="preserve">Patient-safety integrity path; cleartext interfaces assumed; very weak evidence; same consequence family as C12.</t>
  </si>
  <si>
    <t xml:space="preserve">Watch list - communications controls</t>
  </si>
  <si>
    <t xml:space="preserve">Look-alike domain observed (E6); harm mostly to patients outside MediBec systems; reputational.</t>
  </si>
  <si>
    <t xml:space="preserve">PI, ES, MU</t>
  </si>
  <si>
    <t xml:space="preserve">Destructive stage of ransomware; consolidates into C02.</t>
  </si>
  <si>
    <t xml:space="preserve">PI, SY</t>
  </si>
  <si>
    <t xml:space="preserve">Escalation technique within C02/C01 chains.</t>
  </si>
  <si>
    <t xml:space="preserve">Endpoint weakness; entry path overlapping C07 and C02.</t>
  </si>
  <si>
    <t xml:space="preserve">Low materiality</t>
  </si>
  <si>
    <t xml:space="preserve">Low mission impact.</t>
  </si>
  <si>
    <t xml:space="preserve">Out of scope</t>
  </si>
  <si>
    <t xml:space="preserve">Card processing not evidenced; out of scope.</t>
  </si>
  <si>
    <t xml:space="preserve">Out of scope (physical)</t>
  </si>
  <si>
    <t xml:space="preserve">Physical security out of scope.</t>
  </si>
  <si>
    <t xml:space="preserve">RG</t>
  </si>
  <si>
    <t xml:space="preserve">Case (open question) + inference</t>
  </si>
  <si>
    <t xml:space="preserve">Strong inference from E4 ('are logs sufficient?'); amplifier of breach consequences; overlaps C08.</t>
  </si>
  <si>
    <t xml:space="preserve">Case documentation</t>
  </si>
  <si>
    <t xml:space="preserve">Common path; overlaps C01 chain.</t>
  </si>
  <si>
    <t xml:space="preserve">AI scribe use not documented; overlaps C29 (AI) and C13 (vendor).</t>
  </si>
  <si>
    <t xml:space="preserve">Generic; overlaps C09 treatment (segmentation).</t>
  </si>
  <si>
    <t xml:space="preserve">Amplifier of privacy scenarios; overlaps C04/C17 treatment.</t>
  </si>
  <si>
    <t xml:space="preserve">ES, SY</t>
  </si>
  <si>
    <t xml:space="preserve">Component of hub single point of failure (C16).</t>
  </si>
  <si>
    <t xml:space="preserve">Disposition counts</t>
  </si>
  <si>
    <t xml:space="preserve">Escalation-flagged candidates not selected or consolidated (explicit review required)</t>
  </si>
  <si>
    <t xml:space="preserve">Section C / Instruction s.20 - Does the selection hold under different weighting schemes?</t>
  </si>
  <si>
    <t xml:space="preserve">Family score = highest weighted score of any candidate consolidated into that family (so variants do not add up). Ranks recalculate from C_Weights.</t>
  </si>
  <si>
    <t xml:space="preserve">Family</t>
  </si>
  <si>
    <t xml:space="preserve">Name / candidate</t>
  </si>
  <si>
    <t xml:space="preserve">Status</t>
  </si>
  <si>
    <t xml:space="preserve">Score - Equal</t>
  </si>
  <si>
    <t xml:space="preserve">Score - Impact-led</t>
  </si>
  <si>
    <t xml:space="preserve">Score - Evidence-led</t>
  </si>
  <si>
    <t xml:space="preserve">Score - Decision-led</t>
  </si>
  <si>
    <t xml:space="preserve">Rank - Equal</t>
  </si>
  <si>
    <t xml:space="preserve">Rank - Impact-led</t>
  </si>
  <si>
    <t xml:space="preserve">Rank - Evidence-led</t>
  </si>
  <si>
    <t xml:space="preserve">Rank - Decision-led</t>
  </si>
  <si>
    <t xml:space="preserve">In top 10 under all schemes?</t>
  </si>
  <si>
    <t xml:space="preserve">Selected?</t>
  </si>
  <si>
    <t xml:space="preserve">Consistency</t>
  </si>
  <si>
    <t xml:space="preserve">Identity takeover of clinical, privileged or cloud-administrator accounts</t>
  </si>
  <si>
    <t xml:space="preserve">Selected</t>
  </si>
  <si>
    <t xml:space="preserve">Yes</t>
  </si>
  <si>
    <t xml:space="preserve">Ransomware with data theft and backup destruction halting multi-clinic operations</t>
  </si>
  <si>
    <t xml:space="preserve">Exploitation of exposed internet-facing systems (unpatched edge devices, admin interfaces, end-of-life systems)</t>
  </si>
  <si>
    <t xml:space="preserve">Compromise of connected medical devices disrupting diagnostics and threatening patient safety</t>
  </si>
  <si>
    <t xml:space="preserve">Manipulation of clinical data (records or interface messages) leading to unsafe care</t>
  </si>
  <si>
    <t xml:space="preserve">Misuse of legitimate EHR or service-account access to extract patient records</t>
  </si>
  <si>
    <t xml:space="preserve">Bulk exposure of health data held outside core systems (cloud exports, APIs, clinic storage)</t>
  </si>
  <si>
    <t xml:space="preserve">Compromise through a critical supplier (vendor remote access or trojanized software update)</t>
  </si>
  <si>
    <t xml:space="preserve">Loss of the Montreal hub or WAN isolating all clinics from clinical systems</t>
  </si>
  <si>
    <t xml:space="preserve">Uncontrolled disclosure of patient information by staff through unapproved AI tools and communications</t>
  </si>
  <si>
    <t xml:space="preserve">Reading: P01-P04, P06-P09 rank in the top 10 families under every scheme. P05 (integrity) and P10 (AI disclosure) are selected by judgement; C31 (admin sabotage) outranks P10 under all schemes.</t>
  </si>
  <si>
    <t xml:space="preserve">P05 is kept as a low-frequency/high-consequence patient-safety scenario (Instruction s.4, s.10). P10 is kept for portfolio coverage and decision usefulness (s.12-13): no other scenario covers negligent insiders or AI, and it drives unique decisions.</t>
  </si>
  <si>
    <t xml:space="preserve">C31 is not selected because its treatments (PAM, immutable backup, offboarding) are delivered through P01/P02; management should confirm this reliance (E_Quality, blind spots).</t>
  </si>
  <si>
    <t xml:space="preserve">Candidate-level note: a raw top-10 by total score would contain four ransomware-chain variants (C02, C03, C08, C34) and three identity variants (C01, C20, C23) - the variant domination Instruction s.11 and Critical rule 10 warn against.</t>
  </si>
  <si>
    <t xml:space="preserve">Section D - Final selected portfolio (10 scenarios)</t>
  </si>
  <si>
    <t xml:space="preserve">Scenario statement</t>
  </si>
  <si>
    <t xml:space="preserve">Business objective / process</t>
  </si>
  <si>
    <t xml:space="preserve">Critical assets</t>
  </si>
  <si>
    <t xml:space="preserve">Vulnerabilities / predisposing conditions</t>
  </si>
  <si>
    <t xml:space="preserve">Principal consequences</t>
  </si>
  <si>
    <t xml:space="preserve">Key dependencies</t>
  </si>
  <si>
    <t xml:space="preserve">Existing controls known</t>
  </si>
  <si>
    <t xml:space="preserve">Risk-appetite / tolerance relevance</t>
  </si>
  <si>
    <t xml:space="preserve">Selection rationale</t>
  </si>
  <si>
    <t xml:space="preserve">Confidence</t>
  </si>
  <si>
    <t xml:space="preserve">Information requiring validation</t>
  </si>
  <si>
    <t xml:space="preserve">Candidates consolidated</t>
  </si>
  <si>
    <t xml:space="preserve">Prior IDs (30-scenario)</t>
  </si>
  <si>
    <t xml:space="preserve">A cybercriminal obtains valid credentials or session tokens for clinic administrators, clinicians or cloud administrators - through EHR-themed phishing, MFA push fatigue, help-desk reset fraud or token theft - and exploits push-only MFA, absent conditional access and weak reset verification to access the EHR, mail and the cloud tenant, leading to health-data exposure and a foothold for destructive attacks.</t>
  </si>
  <si>
    <t xml:space="preserve">O2 health information; O1 clinical continuity (as precursor)</t>
  </si>
  <si>
    <t xml:space="preserve">Identity/MFA, cloud tenant, EHR, mail</t>
  </si>
  <si>
    <t xml:space="preserve">Cybercriminal / initial-access broker</t>
  </si>
  <si>
    <t xml:space="preserve">Push MFA without number matching or phishing resistance; no conditional access or token binding; help-desk reset verification unknown; users can consent to apps</t>
  </si>
  <si>
    <t xml:space="preserve">Unauthorized access to patient records and mail; reportable confidentiality incident; persistence for ransomware (P02)</t>
  </si>
  <si>
    <t xml:space="preserve">Directory and cloud IdP (concentration)</t>
  </si>
  <si>
    <t xml:space="preserve">Push MFA on remote access (E6); e-mail filtering (E2)</t>
  </si>
  <si>
    <t xml:space="preserve">Health-data exposure of many patients exceeds low appetite; precursor to safety-relevant outages</t>
  </si>
  <si>
    <t xml:space="preserve">Most evidenced and most frequent entry path; one identity plane gates every crown jewel. Four variants (phishing, MFA fatigue, help-desk reset, token theft) consolidated so the portfolio is not dominated by identity attacks; they share owner (CIO) and treatment family (phishing-resistant MFA, conditional access, reset verification).</t>
  </si>
  <si>
    <t xml:space="preserve">Verified org evidence (exercise injects E6: phishing, MFA approval); external/sector; assumption (reset procedure, tenant settings)</t>
  </si>
  <si>
    <t xml:space="preserve">MFA method and coverage; conditional-access policies; help-desk reset procedure; cloud app-consent setting; sign-in logs for E6 indicators</t>
  </si>
  <si>
    <t xml:space="preserve">C01, C20, C23, C30, C41</t>
  </si>
  <si>
    <t xml:space="preserve">S1, S20, S27</t>
  </si>
  <si>
    <t xml:space="preserve">A ransomware affiliate enters through P01 or P03, is not detected because alerts are mis-triaged and logs are incomplete, escalates to domain administrator through Active Directory weaknesses, deletes backups reachable from the production domain, exfiltrates health data and encrypts servers, hypervisors and clinic storage, halting EHR, scheduling and diagnostics across clinics while recovery fails.</t>
  </si>
  <si>
    <t xml:space="preserve">O1 clinical continuity; O2; O3; O4</t>
  </si>
  <si>
    <t xml:space="preserve">EHR, hypervisors, file shares, scheduling, backup servers, clinic storage</t>
  </si>
  <si>
    <t xml:space="preserve">Ransomware-as-a-service affiliate (double extortion)</t>
  </si>
  <si>
    <t xml:space="preserve">Weak alert triage and no 24x7 monitoring; flat network; backups in production admin domain; untested restore and IR</t>
  </si>
  <si>
    <t xml:space="preserve">Multi-day multi-clinic outage; delayed care; data theft and notification; possible permanent loss if recovery fails; media attention</t>
  </si>
  <si>
    <t xml:space="preserve">Montreal DC, backup infrastructure, AD, EDR/MDR</t>
  </si>
  <si>
    <t xml:space="preserve">Firewalls, IDS/IPS, antimalware, EDR (E2, E6); on/off-site backups (E2 - isolation unknown); defined incident roles (E6 - untested)</t>
  </si>
  <si>
    <t xml:space="preserve">Credible immediate threat to patient care - no residual acceptable without Board decision</t>
  </si>
  <si>
    <t xml:space="preserve">Highest combined consequence; full chain visible in exercise; hits several escalation criteria (safety, essential service, backup destruction, primary+recovery failure). Detection gaps, untested IR and backup compromise are stages of this chain, so they are analysed inside it rather than as separate scenarios.</t>
  </si>
  <si>
    <t xml:space="preserve">Verified org evidence (exercise timeline E6); case (E2, E7); external/sector</t>
  </si>
  <si>
    <t xml:space="preserve">EDR coverage and triage records; log sources and retention; AD security assessment; backup isolation and last restore test; IR plan test history</t>
  </si>
  <si>
    <t xml:space="preserve">C02, C03, C08, C14, C34, C35, C40</t>
  </si>
  <si>
    <t xml:space="preserve">S2, S3, S8</t>
  </si>
  <si>
    <t xml:space="preserve">A cybercriminal or state-linked actor exploits a known vulnerability in an unpatched VPN or firewall appliance, or default/stuffed credentials on an internet-exposed management interface, because MediBec lacks an attack-surface inventory and timely patching, gaining administrative access to infrastructure and a path to data theft or P02.</t>
  </si>
  <si>
    <t xml:space="preserve">O1; O2</t>
  </si>
  <si>
    <t xml:space="preserve">Remote-access gateway, firewalls, hypervisor/storage management interfaces, end-of-life systems</t>
  </si>
  <si>
    <t xml:space="preserve">Cybercriminal / state-linked actor (mass exploitation)</t>
  </si>
  <si>
    <t xml:space="preserve">Patch delays (E3, E7); unknown internet exposure (E4); admin interfaces without MFA (assumption)</t>
  </si>
  <si>
    <t xml:space="preserve">Infrastructure compromise; outage; data access</t>
  </si>
  <si>
    <t xml:space="preserve">Edge gateway (single remote-access path)</t>
  </si>
  <si>
    <t xml:space="preserve">Firewalls, IDS/IPS (E2)</t>
  </si>
  <si>
    <t xml:space="preserve">Critical vulnerabilities on internet-facing systems must be fixed within a short timeframe (E5)</t>
  </si>
  <si>
    <t xml:space="preserve">Technical entry path distinct from identity (P01): different controls (attack-surface management, patch SLAs), owner (Infrastructure) and velocity (days from disclosure to exploitation). Directly tied to an explicit appetite rule on critical vulnerabilities.</t>
  </si>
  <si>
    <t xml:space="preserve">Case (E3, E7); external/sector; unknown (actual exposure)</t>
  </si>
  <si>
    <t xml:space="preserve">External attack-surface scan; patch status of edge devices; list of internet-exposed admin interfaces; EOL inventory</t>
  </si>
  <si>
    <t xml:space="preserve">S6, S23</t>
  </si>
  <si>
    <t xml:space="preserve">An attacker or spreading malware reaches a clinic network - via infected workstation, clinic Wi-Fi, patient-supplied imaging media or building IoT - and exploits unpatched or default-credential medical devices sharing that network, disrupting imaging and diagnostic equipment, altering device data and using devices as persistent footholds.</t>
  </si>
  <si>
    <t xml:space="preserve">O1 safe care</t>
  </si>
  <si>
    <t xml:space="preserve">Imaging modalities and consoles, diagnostic devices, clinic LAN</t>
  </si>
  <si>
    <t xml:space="preserve">Cybercriminal / commodity malware</t>
  </si>
  <si>
    <t xml:space="preserve">Incomplete device inventory (E4); patching restricted by certification (E3); no segmentation evidence; media import without scanning (assumption)</t>
  </si>
  <si>
    <t xml:space="preserve">Postponed procedures; incorrect or unavailable diagnostics; patient-safety review</t>
  </si>
  <si>
    <t xml:space="preserve">Device manufacturers; clinic networks (peripheral assets)</t>
  </si>
  <si>
    <t xml:space="preserve">Hub firewalls and IDS/IPS (E2 - east-west coverage unknown)</t>
  </si>
  <si>
    <t xml:space="preserve">Patient-safety clause - no credible immediate threat to care may be accepted (E5)</t>
  </si>
  <si>
    <t xml:space="preserve">Only scenario where the cyber event directly affects medical equipment; peripheral assets outside IT oversight (instruction s.2-3); certification limits make treatment a distinct management decision. Wi-Fi, media and IoT are entry paths into the same exposure.</t>
  </si>
  <si>
    <t xml:space="preserve">Case (E2, E4); external/sector; assumption (segmentation, media handling)</t>
  </si>
  <si>
    <t xml:space="preserve">Networked device inventory with OS/patch level; MDS2 forms; network segmentation diagrams; Wi-Fi and guest isolation; media import procedure</t>
  </si>
  <si>
    <t xml:space="preserve">C09, C06, C27, C43</t>
  </si>
  <si>
    <t xml:space="preserve">S7, S24, S12</t>
  </si>
  <si>
    <t xml:space="preserve">An attacker using a compromised clinical account, a malicious insider, or an attacker positioned on the network alters medication, allergy, laboratory or imaging data - in the EHR or in cleartext HL7/DICOM interface traffic - without detection because integrity monitoring and reconciliation are absent, leading to incorrect clinical decisions.</t>
  </si>
  <si>
    <t xml:space="preserve">O1 safe care; O4 trust</t>
  </si>
  <si>
    <t xml:space="preserve">EHR records, lab/pharmacy results, interface engine</t>
  </si>
  <si>
    <t xml:space="preserve">Extortion-motivated attacker, saboteur or malicious insider</t>
  </si>
  <si>
    <t xml:space="preserve">No integrity monitoring or reconciliation (E8); cleartext interfaces (assumption); broad write privileges (assumption)</t>
  </si>
  <si>
    <t xml:space="preserve">Wrong medication or diagnosis; clinical safety review; loss of trust in the record</t>
  </si>
  <si>
    <t xml:space="preserve">Interface engine; EHR vendor</t>
  </si>
  <si>
    <t xml:space="preserve">EHR audit logging (E6)</t>
  </si>
  <si>
    <t xml:space="preserve">Patient-safety clause (E5); low-frequency/high-consequence - must not be excluded for low probability</t>
  </si>
  <si>
    <t xml:space="preserve">Low-frequency/high-consequence integrity risk; the portfolio would otherwise treat integrity only as a side effect. Distinct controls (integrity monitoring, reconciliation, interface encryption) and owner (CMO/Clinical Ops).</t>
  </si>
  <si>
    <t xml:space="preserve">Case (E8 control expectation); assumption; very limited sector frequency data</t>
  </si>
  <si>
    <t xml:space="preserve">EHR audit-trail capability; interface protocols (TLS or cleartext); reconciliation practices; write-privilege model</t>
  </si>
  <si>
    <t xml:space="preserve">C12, C32</t>
  </si>
  <si>
    <t xml:space="preserve">S10, S29</t>
  </si>
  <si>
    <t xml:space="preserve">A malicious or curious employee, or an attacker who has taken over the over-privileged ehr-sync-svc service account, uses legitimate but excessive access to query and export patient or billing records, because access is broad, service accounts are not vaulted and EHR access is not monitored, resulting in a privacy breach.</t>
  </si>
  <si>
    <t xml:space="preserve">O2 privacy</t>
  </si>
  <si>
    <t xml:space="preserve">EHR data, billing data, service accounts</t>
  </si>
  <si>
    <t xml:space="preserve">Malicious/curious insider; attacker using a service account</t>
  </si>
  <si>
    <t xml:space="preserve">Broad roles (assumption); un-vaulted service account (E6); no access analytics or recertification (E7); no DLP</t>
  </si>
  <si>
    <t xml:space="preserve">Privacy breach, disciplinary and legal action, notification</t>
  </si>
  <si>
    <t xml:space="preserve">EHR role model; integration accounts</t>
  </si>
  <si>
    <t xml:space="preserve">EHR audit log exists (E6); encrypted storage (E2)</t>
  </si>
  <si>
    <t xml:space="preserve">High-risk data stores must have access control, logging and monitoring (E5)</t>
  </si>
  <si>
    <t xml:space="preserve">Insider misuse is a recurrent healthcare exposure and is directly evidenced by the service-account anomaly. Distinct from P01 (legitimate access, no perimeter crossing) and P10 (malicious intent); owner is the Privacy officer.</t>
  </si>
  <si>
    <t xml:space="preserve">Verified org evidence (exercise: ehr-sync-svc); external/sector; assumption (role model)</t>
  </si>
  <si>
    <t xml:space="preserve">EHR role matrix; service-account inventory and privileges; audit-log review practice; last access recertification</t>
  </si>
  <si>
    <t xml:space="preserve">C11, C15</t>
  </si>
  <si>
    <t xml:space="preserve">An opportunistic actor or intruder obtains bulk patient data from stores that sit outside the EHR's controls - cloud storage used for image transfer shared through long-lived links, API keys leaked from code or configuration, and unmanaged local clinic storage - because posture management, secret management and data minimization are absent, causing a large reportable breach.</t>
  </si>
  <si>
    <t xml:space="preserve">O2 privacy; O4 trust</t>
  </si>
  <si>
    <t xml:space="preserve">Cloud storage, API integrations, local clinic storage, exports</t>
  </si>
  <si>
    <t xml:space="preserve">Opportunistic scanner / cybercriminal</t>
  </si>
  <si>
    <t xml:space="preserve">Permissive sharing and weak cloud logging (E4, E6); no secret management (E7); data sprawl (E4); excessive retention</t>
  </si>
  <si>
    <t xml:space="preserve">Large-scale health-data exposure; notification; reputational harm</t>
  </si>
  <si>
    <t xml:space="preserve">Cloud provider; integration partners</t>
  </si>
  <si>
    <t xml:space="preserve">Encrypted storage (E2 - does not prevent valid-link or key access)</t>
  </si>
  <si>
    <t xml:space="preserve">High-risk data stores must have encryption, access control, logging and monitoring (E5)</t>
  </si>
  <si>
    <t xml:space="preserve">Data-at-rest exposure outside the EHR is evidenced (external download of image export) and produces the largest breach volumes. Consolidates three variants that share the treatment decision (data discovery, posture management, minimization) and owner.</t>
  </si>
  <si>
    <t xml:space="preserve">Verified org evidence (exercise: cloud download); case (E2, E4); assumption (repositories)</t>
  </si>
  <si>
    <t xml:space="preserve">Cloud sharing configuration and object logs; inventory of exports; secret-scanning of repositories; content of clinic storage units</t>
  </si>
  <si>
    <t xml:space="preserve">C04, C05, C17, C44</t>
  </si>
  <si>
    <t xml:space="preserve">S4, S11, S17</t>
  </si>
  <si>
    <t xml:space="preserve">A threat actor compromises an EHR, diagnostic, device or IT-support supplier and enters MediBec through the supplier's standing remote access or a malicious signed software update, bypassing perimeter controls, because supplier assurance, contract clauses, access brokering and update staging are absent.</t>
  </si>
  <si>
    <t xml:space="preserve">Vendor-managed systems, EHR components, endpoints running supplier agents</t>
  </si>
  <si>
    <t xml:space="preserve">Supply-chain attacker (criminal or state-linked)</t>
  </si>
  <si>
    <t xml:space="preserve">Standing vendor access (assumption); no vendor tiering or assessments (E7); automatic updates without staging (assumption)</t>
  </si>
  <si>
    <t xml:space="preserve">Trusted-path intrusion across many systems; outage; breach; contractual disputes</t>
  </si>
  <si>
    <t xml:space="preserve">EHR vendor and critical suppliers (concentration)</t>
  </si>
  <si>
    <t xml:space="preserve">Firewalls (E2); vendor coordination role in IR (E6)</t>
  </si>
  <si>
    <t xml:space="preserve">Critical vendors must meet security expectations and support incident notification (E5)</t>
  </si>
  <si>
    <t xml:space="preserve">Critical supply-chain concentration is a mandatory escalation criterion; residual stays above tolerance even with funding, so it drives transfer and acceptance decisions rather than spending. Remote-access and update vectors share owner (Procurement/CIO) and the supplier-assurance decision.</t>
  </si>
  <si>
    <t xml:space="preserve">Case (E2, E5, E7); external/sector; assumption (access design)</t>
  </si>
  <si>
    <t xml:space="preserve">Critical supplier list; remote-access methods; contract clauses (notification, audit); update mechanisms of critical software</t>
  </si>
  <si>
    <t xml:space="preserve">S9, S19</t>
  </si>
  <si>
    <t xml:space="preserve">A carrier failure, attack on edge network devices, failure of the single primary firewall pair or data-centre incident takes the Montreal hub offline; because all clinics depend on it without tested redundancy, alternate site or rehearsed downtime procedures, EHR, imaging and pharmacy access is lost network-wide.</t>
  </si>
  <si>
    <t xml:space="preserve">O1 clinical continuity</t>
  </si>
  <si>
    <t xml:space="preserve">Montreal DC, WAN, firewalls, carrier links</t>
  </si>
  <si>
    <t xml:space="preserve">Technical failure, carrier outage or attacker targeting network infrastructure</t>
  </si>
  <si>
    <t xml:space="preserve">Single hub and possibly single carrier (assumption); firewall redundancy unknown; no alternate site evidenced; downtime procedures untested (E7)</t>
  </si>
  <si>
    <t xml:space="preserve">Network-wide loss of clinical systems for hours to days; safety risk from missing history</t>
  </si>
  <si>
    <t xml:space="preserve">Hub, carriers, firewalls (single point of failure)</t>
  </si>
  <si>
    <t xml:space="preserve">High-speed fibre links (E2); off-site backups (E2)</t>
  </si>
  <si>
    <t xml:space="preserve">Clinical services must have tested recovery and workaround procedures (E5)</t>
  </si>
  <si>
    <t xml:space="preserve">Instruction s.3 requires explicit analysis of single points of failure; this is the organization's largest concentration risk and is independent of any attacker, so it is not captured by P02. Distinct decision (redundancy / alternate site investment, IT-funded).</t>
  </si>
  <si>
    <t xml:space="preserve">Case architecture (E2); assumption (redundancy)</t>
  </si>
  <si>
    <t xml:space="preserve">Network architecture; carrier diversity; firewall HA; DR site; clinic downtime procedures and last test</t>
  </si>
  <si>
    <t xml:space="preserve">C16, C45</t>
  </si>
  <si>
    <t xml:space="preserve">Clinicians and administrative staff paste identifiable patient information into public generative-AI or unassessed AI-scribe services, or misdirect e-mails and faxes, because MediBec has no AI acceptable-use policy, sanctioned tool, web/DLP controls or secure referral channel, resulting in systemic uncontrolled disclosure of health information and possible cross-border transfer.</t>
  </si>
  <si>
    <t xml:space="preserve">O2 privacy; O5 governed innovation</t>
  </si>
  <si>
    <t xml:space="preserve">Clinical notes, correspondence, referrals</t>
  </si>
  <si>
    <t xml:space="preserve">Negligent insider; external AI/SaaS provider handling</t>
  </si>
  <si>
    <t xml:space="preserve">No AI policy or approved tool; no web category or DLP controls; manual referral channels (assumption)</t>
  </si>
  <si>
    <t xml:space="preserve">Systemic privacy non-compliance; notification; clinical errors from unchecked AI output</t>
  </si>
  <si>
    <t xml:space="preserve">External AI and SaaS providers (unmanaged)</t>
  </si>
  <si>
    <t xml:space="preserve">Privacy and compliance function exists (s.4)</t>
  </si>
  <si>
    <t xml:space="preserve">Low appetite for health-data confidentiality; moderate appetite for governed innovation (E5)</t>
  </si>
  <si>
    <t xml:space="preserve">Chosen over the higher-scoring C31 (admin sabotage) for portfolio coverage and decision usefulness: it is the only material negligent-insider and emerging-technology exposure, is near-certain to occur, and drives decisions (AI policy, sanctioned tool, controls) that no other scenario triggers. C31's treatments are largely delivered by P01/P02 controls.</t>
  </si>
  <si>
    <t xml:space="preserve">External/sector (AI adoption); assumption (MediBec usage); case (appetite for governed innovation)</t>
  </si>
  <si>
    <t xml:space="preserve">Proxy/DNS logs for AI services; staff survey; referral channels in use; any AI scribe pilots</t>
  </si>
  <si>
    <t xml:space="preserve">C29, C24, C42</t>
  </si>
  <si>
    <t xml:space="preserve">S26, S21</t>
  </si>
  <si>
    <t xml:space="preserve">Section D - 'Why this scenario?' test (Instruction s.14)</t>
  </si>
  <si>
    <t xml:space="preserve">1. Why relevant to MediBec?</t>
  </si>
  <si>
    <t xml:space="preserve">2. Organizational evidence</t>
  </si>
  <si>
    <t xml:space="preserve">3. Asset / objective threatened</t>
  </si>
  <si>
    <t xml:space="preserve">4. Weakness or condition</t>
  </si>
  <si>
    <t xml:space="preserve">5. Material consequence</t>
  </si>
  <si>
    <t xml:space="preserve">6. Why selected over others?</t>
  </si>
  <si>
    <t xml:space="preserve">Identity gates every crown jewel and remote/cloud access is central to MediBec's model.</t>
  </si>
  <si>
    <t xml:space="preserve">Phishing lure and approved MFA push from unusual geography (E6).</t>
  </si>
  <si>
    <t xml:space="preserve">Health-data confidentiality (O2); precursor to O1 disruption.</t>
  </si>
  <si>
    <t xml:space="preserve">Push-only MFA, no conditional access, unknown reset verification.</t>
  </si>
  <si>
    <t xml:space="preserve">Unauthorized EHR/mail access; reportable breach; ransomware foothold.</t>
  </si>
  <si>
    <t xml:space="preserve">Highest likelihood entry path with strongest evidence; variants consolidated.</t>
  </si>
  <si>
    <t xml:space="preserve">Clinics depend on central services; healthcare is a sustained ransomware target.</t>
  </si>
  <si>
    <t xml:space="preserve">Full exercise timeline; backup failures; alert closed as low (E6).</t>
  </si>
  <si>
    <t xml:space="preserve">Safe continuous care (O1) and all others.</t>
  </si>
  <si>
    <t xml:space="preserve">Weak triage, flat network, backups reachable, untested IR.</t>
  </si>
  <si>
    <t xml:space="preserve">Multi-clinic outage, data theft, failed recovery.</t>
  </si>
  <si>
    <t xml:space="preserve">Largest combined consequence; several mandatory escalation criteria.</t>
  </si>
  <si>
    <t xml:space="preserve">Remote access is essential and edge devices are prime targets.</t>
  </si>
  <si>
    <t xml:space="preserve">Documented patching constraints (E3, E7); exposure unknown (E4).</t>
  </si>
  <si>
    <t xml:space="preserve">O1 and O2 via infrastructure compromise.</t>
  </si>
  <si>
    <t xml:space="preserve">Patch lag, unknown exposed interfaces, possible default credentials.</t>
  </si>
  <si>
    <t xml:space="preserve">Infrastructure takeover, outage, data access.</t>
  </si>
  <si>
    <t xml:space="preserve">Distinct control set and owner; tied to explicit appetite rule on critical vulnerabilities.</t>
  </si>
  <si>
    <t xml:space="preserve">Medical equipment is interconnected with the EHR environment (E2).</t>
  </si>
  <si>
    <t xml:space="preserve">Inventory and segmentation are open questions (E4); certification constraints (E3).</t>
  </si>
  <si>
    <t xml:space="preserve">Safe care (O1).</t>
  </si>
  <si>
    <t xml:space="preserve">Unpatchable devices on shared networks; peripheral entry paths.</t>
  </si>
  <si>
    <t xml:space="preserve">Unavailable or incorrect diagnostics; patient-safety risk.</t>
  </si>
  <si>
    <t xml:space="preserve">Only direct safety path through equipment; peripheral assets.</t>
  </si>
  <si>
    <t xml:space="preserve">Clinical decisions rely on EHR, lab and pharmacy data (E1).</t>
  </si>
  <si>
    <t xml:space="preserve">Integrity controls listed as expected but absent (E8).</t>
  </si>
  <si>
    <t xml:space="preserve">Safe care (O1) and trust (O4).</t>
  </si>
  <si>
    <t xml:space="preserve">No integrity monitoring; cleartext interfaces; broad write access.</t>
  </si>
  <si>
    <t xml:space="preserve">Wrong treatment; loss of confidence in the record.</t>
  </si>
  <si>
    <t xml:space="preserve">Low-frequency/high-consequence; only integrity-centred scenario.</t>
  </si>
  <si>
    <t xml:space="preserve">EHR access is central and broad; insiders are frequent actors in healthcare.</t>
  </si>
  <si>
    <t xml:space="preserve">ehr-sync-svc anomaly (E6); access reviews not evidenced (E7).</t>
  </si>
  <si>
    <t xml:space="preserve">Privacy (O2).</t>
  </si>
  <si>
    <t xml:space="preserve">Broad roles; un-vaulted service account; no monitoring.</t>
  </si>
  <si>
    <t xml:space="preserve">Privacy breach, legal and HR consequences.</t>
  </si>
  <si>
    <t xml:space="preserve">Distinct actor and controls from P01/P10; direct evidence.</t>
  </si>
  <si>
    <t xml:space="preserve">Image sharing and exports use cloud storage; data spread across clinics.</t>
  </si>
  <si>
    <t xml:space="preserve">External download of image export (E6); sprawl question (E4).</t>
  </si>
  <si>
    <t xml:space="preserve">Privacy (O2), trust (O4).</t>
  </si>
  <si>
    <t xml:space="preserve">Permissive sharing, no posture or secret management, data sprawl.</t>
  </si>
  <si>
    <t xml:space="preserve">Large-scale reportable breach.</t>
  </si>
  <si>
    <t xml:space="preserve">Largest breach volumes; evidenced; consolidates variants.</t>
  </si>
  <si>
    <t xml:space="preserve">MediBec relies on EHR, device, cloud and support vendors.</t>
  </si>
  <si>
    <t xml:space="preserve">Vendor controls listed only as expectations (E5, E7).</t>
  </si>
  <si>
    <t xml:space="preserve">O1 and O2 through trusted paths.</t>
  </si>
  <si>
    <t xml:space="preserve">Standing vendor access; no assurance; unstaged updates.</t>
  </si>
  <si>
    <t xml:space="preserve">Trusted-path intrusion across many systems.</t>
  </si>
  <si>
    <t xml:space="preserve">Mandatory supply-chain concentration criterion; drives transfer decisions.</t>
  </si>
  <si>
    <t xml:space="preserve">All clinics connect through one Montreal hub (E2).</t>
  </si>
  <si>
    <t xml:space="preserve">Architecture documented; redundancy not evidenced.</t>
  </si>
  <si>
    <t xml:space="preserve">Clinical continuity (O1).</t>
  </si>
  <si>
    <t xml:space="preserve">Single hub, possible single carrier/firewall pair, no alternate site.</t>
  </si>
  <si>
    <t xml:space="preserve">Network-wide loss of clinical systems.</t>
  </si>
  <si>
    <t xml:space="preserve">Largest single point of failure; independent of attackers so not covered by P02.</t>
  </si>
  <si>
    <t xml:space="preserve">Clinicians are adopting AI; MediBec pursues governed innovation (E5).</t>
  </si>
  <si>
    <t xml:space="preserve">Sector evidence; no MediBec policy documented.</t>
  </si>
  <si>
    <t xml:space="preserve">Privacy (O2), governed innovation (O5).</t>
  </si>
  <si>
    <t xml:space="preserve">No AI policy, sanctioned tool or controls.</t>
  </si>
  <si>
    <t xml:space="preserve">Systemic uncontrolled disclosure; clinical errors.</t>
  </si>
  <si>
    <t xml:space="preserve">Only negligent-insider/emerging-tech exposure; unique decisions.</t>
  </si>
  <si>
    <t xml:space="preserve">Section D / Instruction s.19 - Preparation for quantitative analysis</t>
  </si>
  <si>
    <t xml:space="preserve">Preliminary values are taken from the constituent scenarios of the 30-scenario assessment: anchor = lead constituent (core causal chain); range = min-max across constituents. Analytical estimate — validation required.</t>
  </si>
  <si>
    <t xml:space="preserve">Constituents</t>
  </si>
  <si>
    <t xml:space="preserve">Anchor</t>
  </si>
  <si>
    <t xml:space="preserve">Pb(A) anchor</t>
  </si>
  <si>
    <t xml:space="preserve">Pb(psi,A) anchor</t>
  </si>
  <si>
    <t xml:space="preserve">de anchor</t>
  </si>
  <si>
    <t xml:space="preserve">dm anchor</t>
  </si>
  <si>
    <t xml:space="preserve">theta anchor</t>
  </si>
  <si>
    <t xml:space="preserve">mu(E) anchor</t>
  </si>
  <si>
    <t xml:space="preserve">Pb(A) range</t>
  </si>
  <si>
    <t xml:space="preserve">Pb(psi,A) range</t>
  </si>
  <si>
    <t xml:space="preserve">de range</t>
  </si>
  <si>
    <t xml:space="preserve">dm range</t>
  </si>
  <si>
    <t xml:space="preserve">theta range</t>
  </si>
  <si>
    <t xml:space="preserve">mu(E) range</t>
  </si>
  <si>
    <t xml:space="preserve">Lowest param. confidence</t>
  </si>
  <si>
    <t xml:space="preserve">CVSS applicability</t>
  </si>
  <si>
    <t xml:space="preserve">Current control effectiveness (FAIR resistance)</t>
  </si>
  <si>
    <t xml:space="preserve">FAIR: threat event frequency</t>
  </si>
  <si>
    <t xml:space="preserve">FAIR: threat capability</t>
  </si>
  <si>
    <t xml:space="preserve">FAIR: loss magnitude</t>
  </si>
  <si>
    <t xml:space="preserve">Proposed mitigation (initiatives)</t>
  </si>
  <si>
    <t xml:space="preserve">Prob. reduction (portfolio / 2nd wave)</t>
  </si>
  <si>
    <t xml:space="preserve">Impact reduction (portfolio / 2nd wave)</t>
  </si>
  <si>
    <t xml:space="preserve">Indicative Y1 cost of treatment (CAD)</t>
  </si>
  <si>
    <t xml:space="preserve">Evidence required for validation</t>
  </si>
  <si>
    <t xml:space="preserve">0.55-0.85</t>
  </si>
  <si>
    <t xml:space="preserve">0.40-0.55</t>
  </si>
  <si>
    <t xml:space="preserve">0.55</t>
  </si>
  <si>
    <t xml:space="preserve">0.85-0.90</t>
  </si>
  <si>
    <t xml:space="preserve">0.40</t>
  </si>
  <si>
    <t xml:space="preserve">0.85</t>
  </si>
  <si>
    <t xml:space="preserve">Limited for S27; anchor CVSS-B 9.3</t>
  </si>
  <si>
    <t xml:space="preserve">Low (weak existing controls)</t>
  </si>
  <si>
    <t xml:space="preserve">I01 Phishing-resistant MFA and conditional access; I02 Privileged access and service-account management (PAM); I03 24/7 managed detection and response with centralized logging; I08 Cloud security posture and secure image transfer; I12 Governance, awareness and risk reporting; I21 Help-desk identity verification</t>
  </si>
  <si>
    <t xml:space="preserve">0.80 / 0.85</t>
  </si>
  <si>
    <t xml:space="preserve">0.75 / 0.80</t>
  </si>
  <si>
    <t xml:space="preserve">0.55-0.80</t>
  </si>
  <si>
    <t xml:space="preserve">0.50-0.60</t>
  </si>
  <si>
    <t xml:space="preserve">0.60-0.70</t>
  </si>
  <si>
    <t xml:space="preserve">0.90-0.95</t>
  </si>
  <si>
    <t xml:space="preserve">0.30-0.35</t>
  </si>
  <si>
    <t xml:space="preserve">0.85-0.95</t>
  </si>
  <si>
    <t xml:space="preserve">Limited for S8; anchor CVSS-B 9.3</t>
  </si>
  <si>
    <t xml:space="preserve">Very high</t>
  </si>
  <si>
    <t xml:space="preserve">I01 Phishing-resistant MFA and conditional access; I02 Privileged access and service-account management (PAM); I03 24/7 managed detection and response with centralized logging; I04 Immutable and isolated backup with tested recovery; I05 Risk-based vulnerability and patch management; I06 Network segmentation and network access control; I11 Incident response and clinical continuity readiness; I12 Governance, awareness and risk reporting</t>
  </si>
  <si>
    <t xml:space="preserve">0.70-0.80</t>
  </si>
  <si>
    <t xml:space="preserve">0.35-0.50</t>
  </si>
  <si>
    <t xml:space="preserve">0.60</t>
  </si>
  <si>
    <t xml:space="preserve">0.90</t>
  </si>
  <si>
    <t xml:space="preserve">Applicable (representative weakness); anchor CVSS-B 10.0</t>
  </si>
  <si>
    <t xml:space="preserve">I01 Phishing-resistant MFA and conditional access; I02 Privileged access and service-account management (PAM); I03 24/7 managed detection and response with centralized logging; I05 Risk-based vulnerability and patch management; I06 Network segmentation and network access control</t>
  </si>
  <si>
    <t xml:space="preserve">0.85 / 0.90</t>
  </si>
  <si>
    <t xml:space="preserve">0.70 / 0.70</t>
  </si>
  <si>
    <t xml:space="preserve">0.35-0.45</t>
  </si>
  <si>
    <t xml:space="preserve">0.40-0.50</t>
  </si>
  <si>
    <t xml:space="preserve">0.75-0.95</t>
  </si>
  <si>
    <t xml:space="preserve">0.35-0.40</t>
  </si>
  <si>
    <t xml:space="preserve">0.70-0.90</t>
  </si>
  <si>
    <t xml:space="preserve">Applicable (representative weakness); anchor CVSS-B 8.7</t>
  </si>
  <si>
    <t xml:space="preserve">I03 24/7 managed detection and response with centralized logging; I05 Risk-based vulnerability and patch management; I06 Network segmentation and network access control; I07 Medical device security programme; I12 Governance, awareness and risk reporting</t>
  </si>
  <si>
    <t xml:space="preserve">0.70 / 0.80</t>
  </si>
  <si>
    <t xml:space="preserve">0.60 / 0.72</t>
  </si>
  <si>
    <t xml:space="preserve">0.25-0.30</t>
  </si>
  <si>
    <t xml:space="preserve">0.45-0.55</t>
  </si>
  <si>
    <t xml:space="preserve">Applicable (representative weakness); anchor CVSS-B 8.3</t>
  </si>
  <si>
    <t xml:space="preserve">I01 Phishing-resistant MFA and conditional access; I02 Privileged access and service-account management (PAM); I03 24/7 managed detection and response with centralized logging; I04 Immutable and isolated backup with tested recovery; I06 Network segmentation and network access control; I09 Data access governance and EHR privacy monitoring; I11 Incident response and clinical continuity readiness; I13 Clinical data integrity controls; I22 Secure clinical communications and interfaces</t>
  </si>
  <si>
    <t xml:space="preserve">0.70 / 0.75</t>
  </si>
  <si>
    <t xml:space="preserve">0.45</t>
  </si>
  <si>
    <t xml:space="preserve">0.75</t>
  </si>
  <si>
    <t xml:space="preserve">0.80</t>
  </si>
  <si>
    <t xml:space="preserve">Limited for S5; anchor CVSS-B 7.1</t>
  </si>
  <si>
    <t xml:space="preserve">I02 Privileged access and service-account management (PAM); I03 24/7 managed detection and response with centralized logging; I09 Data access governance and EHR privacy monitoring; I12 Governance, awareness and risk reporting</t>
  </si>
  <si>
    <t xml:space="preserve">0.60 / 0.70</t>
  </si>
  <si>
    <t xml:space="preserve">0.65 / 0.70</t>
  </si>
  <si>
    <t xml:space="preserve">0.45-0.60</t>
  </si>
  <si>
    <t xml:space="preserve">0.65-0.75</t>
  </si>
  <si>
    <t xml:space="preserve">I03 24/7 managed detection and response with centralized logging; I08 Cloud security posture and secure image transfer; I09 Data access governance and EHR privacy monitoring; I14 Application security and secrets management; I17 Mobile device management, encryption and secure disposal; I19 Data lifecycle and minimization</t>
  </si>
  <si>
    <t xml:space="preserve">0.25-0.55</t>
  </si>
  <si>
    <t xml:space="preserve">0.45-0.50</t>
  </si>
  <si>
    <t xml:space="preserve">0.35</t>
  </si>
  <si>
    <t xml:space="preserve">Limited for S9, S19; anchor CVSS-B 9.0</t>
  </si>
  <si>
    <t xml:space="preserve">I01 Phishing-resistant MFA and conditional access; I02 Privileged access and service-account management (PAM); I03 24/7 managed detection and response with centralized logging; I10 Third-party cyber risk management; I11 Incident response and clinical continuity readiness</t>
  </si>
  <si>
    <t xml:space="preserve">0.55 / 0.60</t>
  </si>
  <si>
    <t xml:space="preserve">0.50</t>
  </si>
  <si>
    <t xml:space="preserve">0.95</t>
  </si>
  <si>
    <t xml:space="preserve">Limited for S16; anchor CVSS-B 8.9</t>
  </si>
  <si>
    <t xml:space="preserve">n/a (includes non-malicious)</t>
  </si>
  <si>
    <t xml:space="preserve">I11 Incident response and clinical continuity readiness; I18 Network and hosting resilience</t>
  </si>
  <si>
    <t xml:space="preserve">0.70 / 0.85</t>
  </si>
  <si>
    <t xml:space="preserve">0.65 / 0.80</t>
  </si>
  <si>
    <t xml:space="preserve">0.80-0.85</t>
  </si>
  <si>
    <t xml:space="preserve">0.50-0.55</t>
  </si>
  <si>
    <t xml:space="preserve">0.20-0.35</t>
  </si>
  <si>
    <t xml:space="preserve">0.45-0.65</t>
  </si>
  <si>
    <t xml:space="preserve">0.40-0.45</t>
  </si>
  <si>
    <t xml:space="preserve">Limited for S26, S21; anchor CVSS-B 6.0</t>
  </si>
  <si>
    <t xml:space="preserve">I09 Data access governance and EHR privacy monitoring; I12 Governance, awareness and risk reporting; I19 Data lifecycle and minimization; I20 Responsible use of generative AI</t>
  </si>
  <si>
    <t xml:space="preserve">0.65 / 0.75</t>
  </si>
  <si>
    <t xml:space="preserve">0.55 / 0.65</t>
  </si>
  <si>
    <t xml:space="preserve">Cost = sum of the constituents' allocated Year-1 cost from the 30-scenario model (shared initiatives already split, so no double counting). Re-quantify each P scenario as a whole before management use.</t>
  </si>
  <si>
    <t xml:space="preserve">Section D / Instruction s.17 - Cross-functional validation</t>
  </si>
  <si>
    <t xml:space="preserve">R = must validate, C = consult, - = not needed. Anticipated disagreements are recorded, not hidden.</t>
  </si>
  <si>
    <t xml:space="preserve">Executive mgmt</t>
  </si>
  <si>
    <t xml:space="preserve">Cybersecurity</t>
  </si>
  <si>
    <t xml:space="preserve">IT operations</t>
  </si>
  <si>
    <t xml:space="preserve">ERM / risk</t>
  </si>
  <si>
    <t xml:space="preserve">Clinical Ops / CMO</t>
  </si>
  <si>
    <t xml:space="preserve">Privacy</t>
  </si>
  <si>
    <t xml:space="preserve">Legal</t>
  </si>
  <si>
    <t xml:space="preserve">Compliance</t>
  </si>
  <si>
    <t xml:space="preserve">Internal audit</t>
  </si>
  <si>
    <t xml:space="preserve">Procurement / vendor mgmt</t>
  </si>
  <si>
    <t xml:space="preserve">BCP</t>
  </si>
  <si>
    <t xml:space="preserve">Biomedical engineering</t>
  </si>
  <si>
    <t xml:space="preserve">Clinic managers</t>
  </si>
  <si>
    <t xml:space="preserve">Anticipated disagreement</t>
  </si>
  <si>
    <t xml:space="preserve">R</t>
  </si>
  <si>
    <t xml:space="preserve">Clinicians may resist stronger MFA and conditional access at point of care; IT vs Clinical Ops on login friction.</t>
  </si>
  <si>
    <t xml:space="preserve">Containment speed (Cybersecurity) vs care continuity (Clinical Ops); ransom stance (Executive vs Legal/Finance).</t>
  </si>
  <si>
    <t xml:space="preserve">Patch windows: IT operations and clinics prefer fewer outages than security SLAs imply.</t>
  </si>
  <si>
    <t xml:space="preserve">Biomedical engineering and manufacturers may dispute feasibility of patching/segmentation; Clinical Ops on device downtime.</t>
  </si>
  <si>
    <t xml:space="preserve">Likelihood contested - Clinical Ops may rate it very low; Cybersecurity emphasizes consequence.</t>
  </si>
  <si>
    <t xml:space="preserve">Privacy vs clinical staff on monitoring of access; HR/legal on employee monitoring limits.</t>
  </si>
  <si>
    <t xml:space="preserve">Radiology needs easy external sharing; Privacy wants restrictions.</t>
  </si>
  <si>
    <t xml:space="preserve">Procurement and vendors resist new contract clauses; Finance on cost of assurance.</t>
  </si>
  <si>
    <t xml:space="preserve">Whether this is a cyber scenario at all (IT/BCP view) and who funds redundancy (IT vs cyber budget).</t>
  </si>
  <si>
    <t xml:space="preserve">Clinicians see AI as productivity gain; Privacy/Legal see uncontrolled transfer - calibrate between ban and sanctioned tool.</t>
  </si>
  <si>
    <t xml:space="preserve">Scenarios each stakeholder must validate (R)</t>
  </si>
  <si>
    <t xml:space="preserve">Section E - Portfolio coverage (Instruction s.12)</t>
  </si>
  <si>
    <t xml:space="preserve">1 = scenario materially represents the category. Categories are included only where a credible material exposure exists.</t>
  </si>
  <si>
    <t xml:space="preserve">Category</t>
  </si>
  <si>
    <t xml:space="preserve"># scenarios</t>
  </si>
  <si>
    <t xml:space="preserve">Confidentiality</t>
  </si>
  <si>
    <t xml:space="preserve">Integrity</t>
  </si>
  <si>
    <t xml:space="preserve">Availability</t>
  </si>
  <si>
    <t xml:space="preserve">Identity &amp; privileged access</t>
  </si>
  <si>
    <t xml:space="preserve">Ransomware / destructive</t>
  </si>
  <si>
    <t xml:space="preserve">Cloud &amp; SaaS</t>
  </si>
  <si>
    <t xml:space="preserve">Third-party / supply chain</t>
  </si>
  <si>
    <t xml:space="preserve">Insider</t>
  </si>
  <si>
    <t xml:space="preserve">Application / API</t>
  </si>
  <si>
    <t xml:space="preserve">Infrastructure / network</t>
  </si>
  <si>
    <t xml:space="preserve">Endpoint</t>
  </si>
  <si>
    <t xml:space="preserve">OT / IoT / medical devices</t>
  </si>
  <si>
    <t xml:space="preserve">Data protection / privacy</t>
  </si>
  <si>
    <t xml:space="preserve">Fraud / BEC</t>
  </si>
  <si>
    <t xml:space="preserve">Resilience / DR</t>
  </si>
  <si>
    <t xml:space="preserve">Emerging technology (AI)</t>
  </si>
  <si>
    <t xml:space="preserve">Categories per scenario</t>
  </si>
  <si>
    <t xml:space="preserve">Section E - Portfolio quality review</t>
  </si>
  <si>
    <t xml:space="preserve">Assessment</t>
  </si>
  <si>
    <t xml:space="preserve">Explanation</t>
  </si>
  <si>
    <t xml:space="preserve">Adequately represents material cybersecurity exposure?</t>
  </si>
  <si>
    <t xml:space="preserve">All five objectives and the eight crown-jewel groups are threatened by at least one selected scenario; the largest consequences (P02, P09, P04, P05) and most evidenced paths (P01, P06, P07) are included.</t>
  </si>
  <si>
    <t xml:space="preserve">Contains unnecessary duplication?</t>
  </si>
  <si>
    <t xml:space="preserve">No (after consolidation)</t>
  </si>
  <si>
    <t xml:space="preserve">Identity variants (4), ransomware stages (6), data-store variants (3) and supplier vectors (2) were consolidated. Residual overlap: P01 is a precursor to P02 - kept separate because P01 has its own confidentiality consequence and owner.</t>
  </si>
  <si>
    <t xml:space="preserve">Overlooks major dependencies?</t>
  </si>
  <si>
    <t xml:space="preserve">Partly</t>
  </si>
  <si>
    <t xml:space="preserve">Identity, hub, backup, EHR vendor, device manufacturers, cloud and external AI are covered. Not explicitly covered: DNS and telecom carriers beyond the hub (P09 partly), payment/banking providers (C18 deferred).</t>
  </si>
  <si>
    <t xml:space="preserve">Addresses low-frequency/high-impact risks?</t>
  </si>
  <si>
    <t xml:space="preserve">P05 (integrity), P08 (supply chain), P09 (hub) and P04 (devices) retained despite low probability. Admin sabotage (C31) kept on the watch list for explicit review.</t>
  </si>
  <si>
    <t xml:space="preserve">Represents C, I and A exposures?</t>
  </si>
  <si>
    <t xml:space="preserve">Confidentiality 7, integrity 5, availability 5 scenarios (Coverage sheet).</t>
  </si>
  <si>
    <t xml:space="preserve">Includes material third-party and systemic risks?</t>
  </si>
  <si>
    <t xml:space="preserve">P08 (suppliers), P09 (hub concentration), P02 (enterprise-wide), P01 (single identity plane).</t>
  </si>
  <si>
    <t xml:space="preserve">Reflects regulatory and safety considerations?</t>
  </si>
  <si>
    <t xml:space="preserve">Patient safety: P02, P04, P05, P09. Privacy/regulatory: P01, P02, P06, P07, P10.</t>
  </si>
  <si>
    <t xml:space="preserve">Supports meaningful management decisions?</t>
  </si>
  <si>
    <t xml:space="preserve">Each scenario maps to a distinct decision: MFA/identity (P01), MDR/backup isolation (P02), attack-surface/patch SLAs (P03), device programme (P04), integrity controls (P05), access governance (P06), data posture (P07), supplier assurance/transfer (P08), redundancy investment (P09), AI policy (P10).</t>
  </si>
  <si>
    <t xml:space="preserve">Blind spots and watch list</t>
  </si>
  <si>
    <t xml:space="preserve">Exposure</t>
  </si>
  <si>
    <t xml:space="preserve">Treatment in this portfolio</t>
  </si>
  <si>
    <t xml:space="preserve">Explanation / trigger to promote</t>
  </si>
  <si>
    <t xml:space="preserve">Fraud / BEC (C18)</t>
  </si>
  <si>
    <t xml:space="preserve">Not in portfolio</t>
  </si>
  <si>
    <t xml:space="preserve">Consequence bounded and treated by low-cost finance controls; confirm payment-verification procedure with Finance. Promote if procedure is absent and payment volumes are large.</t>
  </si>
  <si>
    <t xml:space="preserve">Privileged-insider sabotage (C31)</t>
  </si>
  <si>
    <t xml:space="preserve">Watch list - explicit review</t>
  </si>
  <si>
    <t xml:space="preserve">Scores higher than P10 on raw criteria and triggers escalation flags (privileged infrastructure, backup destruction). Excluded because PAM, immutable backup and offboarding controls in P01/P02 treat it; management should confirm this reliance.</t>
  </si>
  <si>
    <t xml:space="preserve">Patient-facing application flaws (C21)</t>
  </si>
  <si>
    <t xml:space="preserve">Existence of a patient portal is unconfirmed; promote immediately if confirmed.</t>
  </si>
  <si>
    <t xml:space="preserve">Patient-targeted impersonation (C33)</t>
  </si>
  <si>
    <t xml:space="preserve">Deferred</t>
  </si>
  <si>
    <t xml:space="preserve">Look-alike domain observed; harm largely outside MediBec systems; handle through communications and domain monitoring.</t>
  </si>
  <si>
    <t xml:space="preserve">DDoS on online services (C10)</t>
  </si>
  <si>
    <t xml:space="preserve">Online-service criticality undocumented; revisit if online booking becomes essential.</t>
  </si>
  <si>
    <t xml:space="preserve">Physical security (C39)</t>
  </si>
  <si>
    <t xml:space="preserve">Not assessed; coordinate with physical security owner.</t>
  </si>
  <si>
    <t xml:space="preserve">Recommended evidence collection before quantification</t>
  </si>
  <si>
    <t xml:space="preserve">Evidence activity</t>
  </si>
  <si>
    <t xml:space="preserve">Scenarios</t>
  </si>
  <si>
    <t xml:space="preserve">Owner</t>
  </si>
  <si>
    <t xml:space="preserve">Timing</t>
  </si>
  <si>
    <t xml:space="preserve">Identity and cloud configuration review (MFA, conditional access, app consent, help-desk reset)</t>
  </si>
  <si>
    <t xml:space="preserve">P01, P06</t>
  </si>
  <si>
    <t xml:space="preserve">Cybersecurity lead</t>
  </si>
  <si>
    <t xml:space="preserve">30 days</t>
  </si>
  <si>
    <t xml:space="preserve">Compromise assessment of the exercise indicators if any reflect real activity</t>
  </si>
  <si>
    <t xml:space="preserve">P01, P02, P06, P07</t>
  </si>
  <si>
    <t xml:space="preserve">Cybersecurity lead + IR retainer</t>
  </si>
  <si>
    <t xml:space="preserve">Immediate</t>
  </si>
  <si>
    <t xml:space="preserve">Backup architecture and restore test; AD security assessment; EDR/log coverage review</t>
  </si>
  <si>
    <t xml:space="preserve">CIO</t>
  </si>
  <si>
    <t xml:space="preserve">60 days</t>
  </si>
  <si>
    <t xml:space="preserve">External attack-surface scan and patch-status report</t>
  </si>
  <si>
    <t xml:space="preserve">CIO (Infrastructure)</t>
  </si>
  <si>
    <t xml:space="preserve">Networked medical-device inventory, MDS2 collection, segmentation review</t>
  </si>
  <si>
    <t xml:space="preserve">90 days</t>
  </si>
  <si>
    <t xml:space="preserve">EHR audit-trail and interface-protocol review; reconciliation practices</t>
  </si>
  <si>
    <t xml:space="preserve">Clinical Ops + integration team</t>
  </si>
  <si>
    <t xml:space="preserve">EHR role matrix and service-account review; access-log sampling</t>
  </si>
  <si>
    <t xml:space="preserve">Privacy officer</t>
  </si>
  <si>
    <t xml:space="preserve">Cloud storage and sharing review; repository secret scan; clinic storage content survey</t>
  </si>
  <si>
    <t xml:space="preserve">CIO + Privacy</t>
  </si>
  <si>
    <t xml:space="preserve">Critical supplier register, contracts and remote-access/update mechanisms</t>
  </si>
  <si>
    <t xml:space="preserve">Procurement</t>
  </si>
  <si>
    <t xml:space="preserve">Network resilience and DR review; carrier diversity; downtime-procedure test</t>
  </si>
  <si>
    <t xml:space="preserve">CIO + BCP</t>
  </si>
  <si>
    <t xml:space="preserve">AI usage discovery (proxy logs, staff survey)</t>
  </si>
  <si>
    <t xml:space="preserve">Cross-functional validation workshop of this portfolio</t>
  </si>
  <si>
    <t xml:space="preserve">Executive sponsor</t>
  </si>
  <si>
    <t xml:space="preserve">45 days</t>
  </si>
  <si>
    <t xml:space="preserve">Critical-rules check</t>
  </si>
  <si>
    <t xml:space="preserve">Rule</t>
  </si>
  <si>
    <t xml:space="preserve">Threat not equated with scenario</t>
  </si>
  <si>
    <t xml:space="preserve">Met - every candidate and final scenario is a causal chain.</t>
  </si>
  <si>
    <t xml:space="preserve">Not selected on technical severity / CVSS</t>
  </si>
  <si>
    <t xml:space="preserve">Met - CVSS not used in screening.</t>
  </si>
  <si>
    <t xml:space="preserve">Probability not confused with impact</t>
  </si>
  <si>
    <t xml:space="preserve">Met - separate criteria; low-frequency/high-impact retained (P05, P08, P09).</t>
  </si>
  <si>
    <t xml:space="preserve">Generic threats not treated as evidence</t>
  </si>
  <si>
    <t xml:space="preserve">Met - evidence basis recorded per candidate; sector-only items marked.</t>
  </si>
  <si>
    <t xml:space="preserve">No double counting of overlapping scenarios</t>
  </si>
  <si>
    <t xml:space="preserve">Met - 24 candidates consolidated into the 10 selected families.</t>
  </si>
  <si>
    <t xml:space="preserve">No artificial precision</t>
  </si>
  <si>
    <t xml:space="preserve">Met - 1-5 scale; quantitative values flagged as preliminary.</t>
  </si>
  <si>
    <t xml:space="preserve">AI assumptions not presented as facts</t>
  </si>
  <si>
    <t xml:space="preserve">Met - evidence basis and confidence columns.</t>
  </si>
  <si>
    <t xml:space="preserve">Portfolio not dominated by one technique</t>
  </si>
  <si>
    <t xml:space="preserve">Met - identity and ransomware variants consolidated.</t>
  </si>
  <si>
    <t xml:space="preserve">Business consequences connected</t>
  </si>
  <si>
    <t xml:space="preserve">Met - consequence and objective columns.</t>
  </si>
  <si>
    <t xml:space="preserve">Selection documented</t>
  </si>
  <si>
    <t xml:space="preserve">Met - rationale and why-test per scenario.</t>
  </si>
  <si>
    <t xml:space="preserve">Assumptions and gaps identified</t>
  </si>
  <si>
    <t xml:space="preserve">Met - A_Context and validation columns.</t>
  </si>
  <si>
    <t xml:space="preserve">Human accountability</t>
  </si>
  <si>
    <t xml:space="preserve">Pending - requires analyst and cross-functional validation (D_Validation).</t>
  </si>
  <si>
    <t xml:space="preserve">Relationship to the earlier 30-scenario assessment</t>
  </si>
  <si>
    <t xml:space="preserve">The 30-scenario quantification (S1-S30) remains valid as analysis of individual exposures; the P01-P10 portfolio re-groups them for management decision-making.</t>
  </si>
  <si>
    <t xml:space="preserve">Prior scenario</t>
  </si>
  <si>
    <t xml:space="preserve">Candidate</t>
  </si>
  <si>
    <t xml:space="preserve">Disposition now</t>
  </si>
  <si>
    <t xml:space="preserve">New family / status</t>
  </si>
  <si>
    <t xml:space="preserve">Credential compromise of clinical administrator accounts through phishing and MFA fatigue</t>
  </si>
  <si>
    <t xml:space="preserve">Ransomware disrupting EHR access and clinic operations across the network</t>
  </si>
  <si>
    <t xml:space="preserve">Backup environment compromised, preventing recovery after a destructive attack</t>
  </si>
  <si>
    <t xml:space="preserve">Cloud medical-image transfer storage exposed, enabling bulk health-data exfiltration</t>
  </si>
  <si>
    <t xml:space="preserve">Misuse of legitimate clinical, privileged or service-account access to extract patient records</t>
  </si>
  <si>
    <t xml:space="preserve">Connected medical device used as a foothold to disrupt clinical equipment and reach the EHR network</t>
  </si>
  <si>
    <t xml:space="preserve">Detection and response gaps allow an intrusion to persist and escalate</t>
  </si>
  <si>
    <t xml:space="preserve">Compromise of a critical vendor with remote access to MediBec systems</t>
  </si>
  <si>
    <t xml:space="preserve">Manipulation of patient, medication or billing records undermining clinical decisions</t>
  </si>
  <si>
    <t xml:space="preserve">API key or secret exposed in code, logs or configuration enables direct data access</t>
  </si>
  <si>
    <t xml:space="preserve">Clinic Wi-Fi compromise or rogue access point gives access to the clinical network</t>
  </si>
  <si>
    <t xml:space="preserve">DDoS attack disrupts online booking, patient portal and communications</t>
  </si>
  <si>
    <t xml:space="preserve">Business e-mail compromise diverts vendor or billing payments</t>
  </si>
  <si>
    <t xml:space="preserve">Lost or stolen tablet or handheld exposes patient data</t>
  </si>
  <si>
    <t xml:space="preserve">Loss of the Montreal hub or WAN isolates clinics from central clinical systems</t>
  </si>
  <si>
    <t xml:space="preserve">Unmanaged patient data on local clinic storage is exposed or lost</t>
  </si>
  <si>
    <t xml:space="preserve">Web application flaw in the patient portal exposes other patients' records</t>
  </si>
  <si>
    <t xml:space="preserve">Trojanized software update from a clinical or IT software supplier</t>
  </si>
  <si>
    <t xml:space="preserve">Takeover of cloud tenant administration through token theft or malicious app consent</t>
  </si>
  <si>
    <t xml:space="preserve">Accidental disclosure of patient information by staff</t>
  </si>
  <si>
    <t xml:space="preserve">Interception or exposure of teleconsultations and clinical messaging</t>
  </si>
  <si>
    <t xml:space="preserve">Brute force or credential stuffing against exposed administrative interfaces</t>
  </si>
  <si>
    <t xml:space="preserve">Malware introduced through patient-supplied imaging media or USB devices</t>
  </si>
  <si>
    <t xml:space="preserve">Retired devices or medical equipment released with recoverable patient data</t>
  </si>
  <si>
    <t xml:space="preserve">Staff paste patient data into unapproved generative-AI tools</t>
  </si>
  <si>
    <t xml:space="preserve">Help-desk impersonation leads to MFA reset and account takeover</t>
  </si>
  <si>
    <t xml:space="preserve">Malicious or departing IT administrator sabotages systems</t>
  </si>
  <si>
    <t xml:space="preserve">Interception or tampering of unencrypted clinical interface traffic (HL7/DICOM)</t>
  </si>
  <si>
    <t xml:space="preserve">Criminals impersonate MediBec to defraud or phish patients</t>
  </si>
  <si>
    <t xml:space="preserve">Previous 10 (S1-S10) vs new 10: S3 (backup) and S8 (detection) are now stages inside P02 rather than stand-alone scenarios; S1 widened into P01 (identity, incl. S20, S27); S6 widened into P03 (incl. S23); S4 widened into P07 (incl. S11, S17); S9 widened into P08 (incl. S19); S10 widened into P05 (incl. S29).</t>
  </si>
  <si>
    <t xml:space="preserve">New in the 10-scenario portfolio: P09 hub single point of failure (S16) and P10 staff disclosure via AI and misdirected communications (S26, S21).</t>
  </si>
  <si>
    <t xml:space="preserve">Implication: the CRG risk indices, treatment portfolio and budget were computed on S1-S30 and remain usable; re-quantify P01-P10 as whole scenarios before presenting a 10-scenario register to management.</t>
  </si>
</sst>
</file>

<file path=xl/styles.xml><?xml version="1.0" encoding="utf-8"?>
<styleSheet xmlns="http://schemas.openxmlformats.org/spreadsheetml/2006/main">
  <numFmts count="5">
    <numFmt numFmtId="164" formatCode="General"/>
    <numFmt numFmtId="165" formatCode="0.0"/>
    <numFmt numFmtId="166" formatCode="0"/>
    <numFmt numFmtId="167" formatCode="0.0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b val="true"/>
      <sz val="11"/>
      <color rgb="FF1F3864"/>
      <name val="Arial"/>
      <family val="0"/>
      <charset val="1"/>
    </font>
    <font>
      <sz val="10"/>
      <color rgb="FF0000FF"/>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F4CCCC"/>
        <bgColor rgb="FFD9EAD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9EAD3"/>
        </patternFill>
      </fill>
    </dxf>
    <dxf>
      <fill>
        <patternFill>
          <bgColor rgb="FFFFF2CC"/>
        </patternFill>
      </fill>
    </dxf>
    <dxf>
      <fill>
        <patternFill>
          <bgColor rgb="FFDDEBF7"/>
        </patternFill>
      </fill>
    </dxf>
    <dxf>
      <fill>
        <patternFill>
          <bgColor rgb="FFEDEDED"/>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34"/>
  </cols>
  <sheetData>
    <row r="1" customFormat="false" ht="17.35" hidden="false" customHeight="false" outlineLevel="0" collapsed="false">
      <c r="A1" s="1" t="s">
        <v>15</v>
      </c>
    </row>
    <row r="3" customFormat="false" ht="15" hidden="false" customHeight="false" outlineLevel="0" collapsed="false">
      <c r="A3" s="3" t="s">
        <v>16</v>
      </c>
      <c r="B3" s="3" t="s">
        <v>17</v>
      </c>
      <c r="C3" s="3" t="s">
        <v>18</v>
      </c>
    </row>
    <row r="4" customFormat="false" ht="15" hidden="false" customHeight="false" outlineLevel="0" collapsed="false">
      <c r="A4" s="4" t="s">
        <v>19</v>
      </c>
      <c r="B4" s="4" t="s">
        <v>20</v>
      </c>
      <c r="C4" s="4" t="s">
        <v>21</v>
      </c>
    </row>
    <row r="5" customFormat="false" ht="23.85" hidden="false" customHeight="false" outlineLevel="0" collapsed="false">
      <c r="A5" s="4" t="s">
        <v>22</v>
      </c>
      <c r="B5" s="4" t="s">
        <v>23</v>
      </c>
      <c r="C5" s="4" t="s">
        <v>24</v>
      </c>
    </row>
    <row r="6" customFormat="false" ht="15" hidden="false" customHeight="false" outlineLevel="0" collapsed="false">
      <c r="A6" s="4" t="s">
        <v>25</v>
      </c>
      <c r="B6" s="4" t="s">
        <v>26</v>
      </c>
      <c r="C6" s="4" t="s">
        <v>27</v>
      </c>
    </row>
    <row r="7" customFormat="false" ht="15" hidden="false" customHeight="false" outlineLevel="0" collapsed="false">
      <c r="A7" s="4" t="s">
        <v>28</v>
      </c>
      <c r="B7" s="4" t="s">
        <v>29</v>
      </c>
      <c r="C7" s="4" t="s">
        <v>30</v>
      </c>
    </row>
    <row r="8" customFormat="false" ht="15" hidden="false" customHeight="false" outlineLevel="0" collapsed="false">
      <c r="A8" s="4" t="s">
        <v>31</v>
      </c>
      <c r="B8" s="4" t="s">
        <v>32</v>
      </c>
      <c r="C8" s="4" t="s">
        <v>21</v>
      </c>
    </row>
    <row r="9" customFormat="false" ht="15" hidden="false" customHeight="false" outlineLevel="0" collapsed="false">
      <c r="A9" s="4" t="s">
        <v>33</v>
      </c>
      <c r="B9" s="4" t="s">
        <v>34</v>
      </c>
      <c r="C9" s="4" t="s">
        <v>35</v>
      </c>
    </row>
    <row r="10" customFormat="false" ht="23.85" hidden="false" customHeight="false" outlineLevel="0" collapsed="false">
      <c r="A10" s="4" t="s">
        <v>36</v>
      </c>
      <c r="B10" s="4" t="s">
        <v>37</v>
      </c>
      <c r="C10" s="4" t="s">
        <v>38</v>
      </c>
    </row>
    <row r="11" customFormat="false" ht="23.85" hidden="false" customHeight="false" outlineLevel="0" collapsed="false">
      <c r="A11" s="4" t="s">
        <v>39</v>
      </c>
      <c r="B11" s="4" t="s">
        <v>40</v>
      </c>
      <c r="C11" s="4" t="s">
        <v>41</v>
      </c>
    </row>
    <row r="12" customFormat="false" ht="23.85" hidden="false" customHeight="false" outlineLevel="0" collapsed="false">
      <c r="A12" s="4" t="s">
        <v>42</v>
      </c>
      <c r="B12" s="4" t="s">
        <v>43</v>
      </c>
      <c r="C12" s="4" t="s">
        <v>44</v>
      </c>
    </row>
    <row r="13" customFormat="false" ht="23.85" hidden="false" customHeight="false" outlineLevel="0" collapsed="false">
      <c r="A13" s="4" t="s">
        <v>45</v>
      </c>
      <c r="B13" s="4" t="s">
        <v>46</v>
      </c>
      <c r="C13" s="4" t="s">
        <v>47</v>
      </c>
    </row>
    <row r="15" customFormat="false" ht="15" hidden="false" customHeight="false" outlineLevel="0" collapsed="false">
      <c r="A15" s="5" t="s">
        <v>48</v>
      </c>
    </row>
    <row r="16" customFormat="false" ht="15" hidden="false" customHeight="false" outlineLevel="0" collapsed="false">
      <c r="A16" s="3" t="s">
        <v>49</v>
      </c>
      <c r="B16" s="3" t="s">
        <v>50</v>
      </c>
      <c r="C16" s="3" t="s">
        <v>51</v>
      </c>
    </row>
    <row r="17" customFormat="false" ht="23.85" hidden="false" customHeight="false" outlineLevel="0" collapsed="false">
      <c r="A17" s="4" t="s">
        <v>52</v>
      </c>
      <c r="B17" s="4" t="s">
        <v>53</v>
      </c>
      <c r="C17" s="4" t="s">
        <v>54</v>
      </c>
    </row>
    <row r="18" customFormat="false" ht="23.85" hidden="false" customHeight="false" outlineLevel="0" collapsed="false">
      <c r="A18" s="4" t="s">
        <v>55</v>
      </c>
      <c r="B18" s="4" t="s">
        <v>56</v>
      </c>
      <c r="C18" s="4" t="s">
        <v>57</v>
      </c>
    </row>
    <row r="19" customFormat="false" ht="23.85" hidden="false" customHeight="false" outlineLevel="0" collapsed="false">
      <c r="A19" s="4" t="s">
        <v>58</v>
      </c>
      <c r="B19" s="4" t="s">
        <v>59</v>
      </c>
      <c r="C19" s="4" t="s">
        <v>60</v>
      </c>
    </row>
    <row r="20" customFormat="false" ht="23.85" hidden="false" customHeight="false" outlineLevel="0" collapsed="false">
      <c r="A20" s="4" t="s">
        <v>61</v>
      </c>
      <c r="B20" s="4" t="s">
        <v>62</v>
      </c>
      <c r="C20" s="4" t="s">
        <v>63</v>
      </c>
    </row>
    <row r="21" customFormat="false" ht="23.85" hidden="false" customHeight="false" outlineLevel="0" collapsed="false">
      <c r="A21" s="4" t="s">
        <v>64</v>
      </c>
      <c r="B21" s="4" t="s">
        <v>65</v>
      </c>
      <c r="C21" s="4" t="s">
        <v>66</v>
      </c>
    </row>
    <row r="23" customFormat="false" ht="15" hidden="false" customHeight="false" outlineLevel="0" collapsed="false">
      <c r="A23" s="5" t="s">
        <v>67</v>
      </c>
    </row>
    <row r="24" customFormat="false" ht="15" hidden="false" customHeight="false" outlineLevel="0" collapsed="false">
      <c r="A24" s="3" t="s">
        <v>68</v>
      </c>
      <c r="B24" s="3" t="s">
        <v>69</v>
      </c>
    </row>
    <row r="25" customFormat="false" ht="15" hidden="false" customHeight="false" outlineLevel="0" collapsed="false">
      <c r="A25" s="4" t="s">
        <v>70</v>
      </c>
      <c r="B25" s="4" t="s">
        <v>71</v>
      </c>
    </row>
    <row r="26" customFormat="false" ht="15" hidden="false" customHeight="false" outlineLevel="0" collapsed="false">
      <c r="A26" s="4" t="s">
        <v>72</v>
      </c>
      <c r="B26" s="4" t="s">
        <v>73</v>
      </c>
    </row>
    <row r="27" customFormat="false" ht="15" hidden="false" customHeight="false" outlineLevel="0" collapsed="false">
      <c r="A27" s="4" t="s">
        <v>74</v>
      </c>
      <c r="B27" s="4" t="s">
        <v>75</v>
      </c>
    </row>
    <row r="28" customFormat="false" ht="15" hidden="false" customHeight="false" outlineLevel="0" collapsed="false">
      <c r="A28" s="4" t="s">
        <v>76</v>
      </c>
      <c r="B28" s="4" t="s">
        <v>77</v>
      </c>
    </row>
    <row r="29" customFormat="false" ht="15" hidden="false" customHeight="false" outlineLevel="0" collapsed="false">
      <c r="A29" s="4" t="s">
        <v>78</v>
      </c>
      <c r="B29" s="4" t="s">
        <v>79</v>
      </c>
    </row>
    <row r="30" customFormat="false" ht="15" hidden="false" customHeight="false" outlineLevel="0" collapsed="false">
      <c r="A30" s="4" t="s">
        <v>80</v>
      </c>
      <c r="B30" s="4" t="s">
        <v>81</v>
      </c>
    </row>
    <row r="31" customFormat="false" ht="15" hidden="false" customHeight="false" outlineLevel="0" collapsed="false">
      <c r="A31" s="4" t="s">
        <v>82</v>
      </c>
      <c r="B31" s="4" t="s">
        <v>83</v>
      </c>
    </row>
    <row r="33" customFormat="false" ht="15" hidden="false" customHeight="false" outlineLevel="0" collapsed="false">
      <c r="A33" s="5" t="s">
        <v>84</v>
      </c>
    </row>
    <row r="34" customFormat="false" ht="15" hidden="false" customHeight="false" outlineLevel="0" collapsed="false">
      <c r="A34" s="3" t="s">
        <v>85</v>
      </c>
      <c r="B34" s="3" t="s">
        <v>86</v>
      </c>
    </row>
    <row r="35" customFormat="false" ht="35.05" hidden="false" customHeight="false" outlineLevel="0" collapsed="false">
      <c r="A35" s="4" t="s">
        <v>87</v>
      </c>
      <c r="B35" s="4" t="s">
        <v>88</v>
      </c>
    </row>
    <row r="36" customFormat="false" ht="46.25" hidden="false" customHeight="false" outlineLevel="0" collapsed="false">
      <c r="A36" s="4" t="s">
        <v>89</v>
      </c>
      <c r="B36" s="4" t="s">
        <v>90</v>
      </c>
    </row>
    <row r="37" customFormat="false" ht="23.85" hidden="false" customHeight="false" outlineLevel="0" collapsed="false">
      <c r="A37" s="4" t="s">
        <v>91</v>
      </c>
      <c r="B37" s="4" t="s">
        <v>92</v>
      </c>
    </row>
    <row r="38" customFormat="false" ht="23.85" hidden="false" customHeight="false" outlineLevel="0" collapsed="false">
      <c r="A38" s="4" t="s">
        <v>93</v>
      </c>
      <c r="B38" s="4" t="s">
        <v>94</v>
      </c>
    </row>
    <row r="39" customFormat="false" ht="35.05" hidden="false" customHeight="false" outlineLevel="0" collapsed="false">
      <c r="A39" s="4" t="s">
        <v>95</v>
      </c>
      <c r="B39" s="4" t="s">
        <v>96</v>
      </c>
    </row>
    <row r="40" customFormat="false" ht="35.05" hidden="false" customHeight="false" outlineLevel="0" collapsed="false">
      <c r="A40" s="4" t="s">
        <v>97</v>
      </c>
      <c r="B40" s="4" t="s">
        <v>98</v>
      </c>
    </row>
    <row r="41" customFormat="false" ht="23.85" hidden="false" customHeight="false" outlineLevel="0" collapsed="false">
      <c r="A41" s="4" t="s">
        <v>99</v>
      </c>
      <c r="B41" s="4" t="s">
        <v>100</v>
      </c>
    </row>
    <row r="42" customFormat="false" ht="15" hidden="false" customHeight="false" outlineLevel="0" collapsed="false">
      <c r="A42" s="4" t="s">
        <v>101</v>
      </c>
      <c r="B42" s="4" t="s">
        <v>102</v>
      </c>
    </row>
    <row r="43" customFormat="false" ht="23.85" hidden="false" customHeight="false" outlineLevel="0" collapsed="false">
      <c r="A43" s="4" t="s">
        <v>103</v>
      </c>
      <c r="B43" s="4"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32"/>
    <col collapsed="false" customWidth="true" hidden="false" outlineLevel="0" max="4" min="4" style="0" width="42"/>
    <col collapsed="false" customWidth="true" hidden="false" outlineLevel="0" max="5" min="5" style="0" width="38"/>
    <col collapsed="false" customWidth="true" hidden="false" outlineLevel="0" max="6" min="6" style="0" width="36"/>
  </cols>
  <sheetData>
    <row r="1" customFormat="false" ht="17.35" hidden="false" customHeight="false" outlineLevel="0" collapsed="false">
      <c r="A1" s="1" t="s">
        <v>105</v>
      </c>
    </row>
    <row r="3" customFormat="false" ht="15" hidden="false" customHeight="false" outlineLevel="0" collapsed="false">
      <c r="A3" s="3" t="s">
        <v>50</v>
      </c>
      <c r="B3" s="3" t="s">
        <v>106</v>
      </c>
      <c r="C3" s="3" t="s">
        <v>107</v>
      </c>
      <c r="D3" s="3" t="s">
        <v>108</v>
      </c>
      <c r="E3" s="3" t="s">
        <v>109</v>
      </c>
      <c r="F3" s="3" t="s">
        <v>110</v>
      </c>
    </row>
    <row r="4" customFormat="false" ht="23.85" hidden="false" customHeight="false" outlineLevel="0" collapsed="false">
      <c r="A4" s="4" t="s">
        <v>52</v>
      </c>
      <c r="B4" s="4" t="s">
        <v>111</v>
      </c>
      <c r="C4" s="4" t="s">
        <v>112</v>
      </c>
      <c r="D4" s="4" t="s">
        <v>113</v>
      </c>
      <c r="E4" s="4" t="s">
        <v>114</v>
      </c>
      <c r="F4" s="4" t="s">
        <v>115</v>
      </c>
    </row>
    <row r="5" customFormat="false" ht="23.85" hidden="false" customHeight="false" outlineLevel="0" collapsed="false">
      <c r="A5" s="4" t="s">
        <v>52</v>
      </c>
      <c r="B5" s="4" t="s">
        <v>116</v>
      </c>
      <c r="C5" s="4" t="s">
        <v>117</v>
      </c>
      <c r="D5" s="4" t="s">
        <v>118</v>
      </c>
      <c r="E5" s="4" t="s">
        <v>119</v>
      </c>
      <c r="F5" s="4" t="s">
        <v>120</v>
      </c>
    </row>
    <row r="6" customFormat="false" ht="15" hidden="false" customHeight="false" outlineLevel="0" collapsed="false">
      <c r="A6" s="4" t="s">
        <v>52</v>
      </c>
      <c r="B6" s="4" t="s">
        <v>121</v>
      </c>
      <c r="C6" s="4" t="s">
        <v>122</v>
      </c>
      <c r="D6" s="4" t="s">
        <v>123</v>
      </c>
      <c r="E6" s="4" t="s">
        <v>124</v>
      </c>
      <c r="F6" s="4" t="s">
        <v>125</v>
      </c>
    </row>
    <row r="7" customFormat="false" ht="23.85" hidden="false" customHeight="false" outlineLevel="0" collapsed="false">
      <c r="A7" s="4" t="s">
        <v>55</v>
      </c>
      <c r="B7" s="4" t="s">
        <v>126</v>
      </c>
      <c r="C7" s="4" t="s">
        <v>127</v>
      </c>
      <c r="D7" s="4" t="s">
        <v>128</v>
      </c>
      <c r="E7" s="4" t="s">
        <v>129</v>
      </c>
      <c r="F7" s="4" t="s">
        <v>130</v>
      </c>
    </row>
    <row r="8" customFormat="false" ht="15" hidden="false" customHeight="false" outlineLevel="0" collapsed="false">
      <c r="A8" s="4" t="s">
        <v>58</v>
      </c>
      <c r="B8" s="4" t="s">
        <v>131</v>
      </c>
      <c r="C8" s="4" t="s">
        <v>132</v>
      </c>
      <c r="D8" s="4" t="s">
        <v>133</v>
      </c>
      <c r="E8" s="4" t="s">
        <v>134</v>
      </c>
      <c r="F8" s="4" t="s">
        <v>135</v>
      </c>
    </row>
    <row r="9" customFormat="false" ht="15" hidden="false" customHeight="false" outlineLevel="0" collapsed="false">
      <c r="A9" s="4" t="s">
        <v>58</v>
      </c>
      <c r="B9" s="4" t="s">
        <v>136</v>
      </c>
      <c r="C9" s="4" t="s">
        <v>137</v>
      </c>
      <c r="D9" s="4" t="s">
        <v>138</v>
      </c>
      <c r="E9" s="4" t="s">
        <v>139</v>
      </c>
      <c r="F9" s="4" t="s">
        <v>140</v>
      </c>
    </row>
    <row r="10" customFormat="false" ht="15" hidden="false" customHeight="false" outlineLevel="0" collapsed="false">
      <c r="A10" s="4" t="s">
        <v>61</v>
      </c>
      <c r="B10" s="4" t="s">
        <v>141</v>
      </c>
      <c r="C10" s="4" t="s">
        <v>142</v>
      </c>
      <c r="D10" s="4" t="s">
        <v>143</v>
      </c>
      <c r="E10" s="4" t="s">
        <v>144</v>
      </c>
      <c r="F10" s="4" t="s">
        <v>145</v>
      </c>
    </row>
    <row r="11" customFormat="false" ht="23.85" hidden="false" customHeight="false" outlineLevel="0" collapsed="false">
      <c r="A11" s="4" t="s">
        <v>64</v>
      </c>
      <c r="B11" s="4" t="s">
        <v>146</v>
      </c>
      <c r="C11" s="4" t="s">
        <v>147</v>
      </c>
      <c r="D11" s="4" t="s">
        <v>148</v>
      </c>
      <c r="E11" s="4" t="s">
        <v>149</v>
      </c>
      <c r="F11" s="4"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40"/>
    <col collapsed="false" customWidth="true" hidden="false" outlineLevel="0" max="4" min="4" style="0" width="48"/>
    <col collapsed="false" customWidth="true" hidden="false" outlineLevel="0" max="5" min="5" style="0" width="22"/>
    <col collapsed="false" customWidth="true" hidden="false" outlineLevel="0" max="6" min="6" style="0" width="26"/>
  </cols>
  <sheetData>
    <row r="1" customFormat="false" ht="17.35" hidden="false" customHeight="false" outlineLevel="0" collapsed="false">
      <c r="A1" s="1" t="s">
        <v>151</v>
      </c>
    </row>
    <row r="2" customFormat="false" ht="15" hidden="false" customHeight="false" outlineLevel="0" collapsed="false">
      <c r="A2" s="2" t="s">
        <v>152</v>
      </c>
    </row>
    <row r="3" customFormat="false" ht="15" hidden="false" customHeight="false" outlineLevel="0" collapsed="false">
      <c r="A3" s="3" t="s">
        <v>153</v>
      </c>
      <c r="B3" s="3" t="s">
        <v>154</v>
      </c>
      <c r="C3" s="3" t="s">
        <v>155</v>
      </c>
      <c r="D3" s="3" t="s">
        <v>156</v>
      </c>
      <c r="E3" s="3" t="s">
        <v>157</v>
      </c>
      <c r="F3" s="3" t="s">
        <v>158</v>
      </c>
    </row>
    <row r="4" customFormat="false" ht="15" hidden="false" customHeight="false" outlineLevel="0" collapsed="false">
      <c r="A4" s="4" t="s">
        <v>159</v>
      </c>
      <c r="B4" s="4" t="s">
        <v>160</v>
      </c>
      <c r="C4" s="4" t="s">
        <v>161</v>
      </c>
      <c r="D4" s="4" t="s">
        <v>162</v>
      </c>
      <c r="E4" s="4" t="s">
        <v>163</v>
      </c>
      <c r="F4" s="4" t="s">
        <v>164</v>
      </c>
    </row>
    <row r="5" customFormat="false" ht="15" hidden="false" customHeight="false" outlineLevel="0" collapsed="false">
      <c r="A5" s="4" t="s">
        <v>165</v>
      </c>
      <c r="B5" s="4" t="s">
        <v>166</v>
      </c>
      <c r="C5" s="4" t="s">
        <v>167</v>
      </c>
      <c r="D5" s="4" t="s">
        <v>168</v>
      </c>
      <c r="E5" s="4" t="s">
        <v>163</v>
      </c>
      <c r="F5" s="4" t="s">
        <v>169</v>
      </c>
    </row>
    <row r="6" customFormat="false" ht="23.85" hidden="false" customHeight="false" outlineLevel="0" collapsed="false">
      <c r="A6" s="4" t="s">
        <v>170</v>
      </c>
      <c r="B6" s="4" t="s">
        <v>171</v>
      </c>
      <c r="C6" s="4" t="s">
        <v>172</v>
      </c>
      <c r="D6" s="4" t="s">
        <v>173</v>
      </c>
      <c r="E6" s="4" t="s">
        <v>163</v>
      </c>
      <c r="F6" s="4" t="s">
        <v>174</v>
      </c>
    </row>
    <row r="7" customFormat="false" ht="15" hidden="false" customHeight="false" outlineLevel="0" collapsed="false">
      <c r="A7" s="4" t="s">
        <v>175</v>
      </c>
      <c r="B7" s="4" t="s">
        <v>176</v>
      </c>
      <c r="C7" s="4" t="s">
        <v>177</v>
      </c>
      <c r="D7" s="4" t="s">
        <v>178</v>
      </c>
      <c r="E7" s="4" t="s">
        <v>163</v>
      </c>
      <c r="F7" s="4" t="s">
        <v>179</v>
      </c>
    </row>
    <row r="8" customFormat="false" ht="23.85" hidden="false" customHeight="false" outlineLevel="0" collapsed="false">
      <c r="A8" s="4" t="s">
        <v>180</v>
      </c>
      <c r="B8" s="4" t="s">
        <v>181</v>
      </c>
      <c r="C8" s="4" t="s">
        <v>182</v>
      </c>
      <c r="D8" s="4" t="s">
        <v>183</v>
      </c>
      <c r="E8" s="4" t="s">
        <v>184</v>
      </c>
      <c r="F8" s="4" t="s">
        <v>185</v>
      </c>
    </row>
    <row r="9" customFormat="false" ht="23.85" hidden="false" customHeight="false" outlineLevel="0" collapsed="false">
      <c r="A9" s="4" t="s">
        <v>186</v>
      </c>
      <c r="B9" s="4" t="s">
        <v>187</v>
      </c>
      <c r="C9" s="4" t="s">
        <v>188</v>
      </c>
      <c r="D9" s="4" t="s">
        <v>189</v>
      </c>
      <c r="E9" s="4" t="s">
        <v>190</v>
      </c>
      <c r="F9" s="4" t="s">
        <v>191</v>
      </c>
    </row>
    <row r="10" customFormat="false" ht="23.85" hidden="false" customHeight="false" outlineLevel="0" collapsed="false">
      <c r="A10" s="4" t="s">
        <v>192</v>
      </c>
      <c r="B10" s="4" t="s">
        <v>193</v>
      </c>
      <c r="C10" s="4" t="s">
        <v>194</v>
      </c>
      <c r="D10" s="4" t="s">
        <v>195</v>
      </c>
      <c r="E10" s="4" t="s">
        <v>196</v>
      </c>
      <c r="F10" s="4" t="s">
        <v>197</v>
      </c>
    </row>
    <row r="11" customFormat="false" ht="23.85" hidden="false" customHeight="false" outlineLevel="0" collapsed="false">
      <c r="A11" s="4" t="s">
        <v>198</v>
      </c>
      <c r="B11" s="4" t="s">
        <v>199</v>
      </c>
      <c r="C11" s="4" t="s">
        <v>200</v>
      </c>
      <c r="D11" s="4" t="s">
        <v>201</v>
      </c>
      <c r="E11" s="4" t="s">
        <v>202</v>
      </c>
      <c r="F11" s="4" t="s">
        <v>203</v>
      </c>
    </row>
    <row r="12" customFormat="false" ht="15" hidden="false" customHeight="false" outlineLevel="0" collapsed="false">
      <c r="A12" s="4" t="s">
        <v>204</v>
      </c>
      <c r="B12" s="4" t="s">
        <v>181</v>
      </c>
      <c r="C12" s="4" t="s">
        <v>205</v>
      </c>
      <c r="D12" s="4" t="s">
        <v>206</v>
      </c>
      <c r="E12" s="4" t="s">
        <v>163</v>
      </c>
      <c r="F12" s="4" t="s">
        <v>207</v>
      </c>
    </row>
    <row r="13" customFormat="false" ht="15" hidden="false" customHeight="false" outlineLevel="0" collapsed="false">
      <c r="A13" s="4" t="s">
        <v>208</v>
      </c>
      <c r="B13" s="4" t="s">
        <v>209</v>
      </c>
      <c r="C13" s="4" t="s">
        <v>210</v>
      </c>
      <c r="D13" s="4" t="s">
        <v>211</v>
      </c>
      <c r="E13" s="4" t="s">
        <v>212</v>
      </c>
      <c r="F13" s="4" t="s">
        <v>213</v>
      </c>
    </row>
    <row r="14" customFormat="false" ht="15" hidden="false" customHeight="false" outlineLevel="0" collapsed="false">
      <c r="A14" s="4" t="s">
        <v>214</v>
      </c>
      <c r="B14" s="4" t="s">
        <v>215</v>
      </c>
      <c r="C14" s="4" t="s">
        <v>216</v>
      </c>
      <c r="D14" s="4" t="s">
        <v>217</v>
      </c>
      <c r="E14" s="4" t="s">
        <v>218</v>
      </c>
      <c r="F14" s="4" t="s">
        <v>219</v>
      </c>
    </row>
    <row r="15" customFormat="false" ht="23.85" hidden="false" customHeight="false" outlineLevel="0" collapsed="false">
      <c r="A15" s="4" t="s">
        <v>220</v>
      </c>
      <c r="B15" s="4" t="s">
        <v>221</v>
      </c>
      <c r="C15" s="4" t="s">
        <v>222</v>
      </c>
      <c r="D15" s="4" t="s">
        <v>223</v>
      </c>
      <c r="E15" s="4" t="s">
        <v>163</v>
      </c>
      <c r="F15" s="4"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3" min="3" style="0" width="80"/>
    <col collapsed="false" customWidth="true" hidden="false" outlineLevel="0" max="4" min="4" style="0" width="18"/>
    <col collapsed="false" customWidth="true" hidden="false" outlineLevel="0" max="5" min="5" style="0" width="20"/>
    <col collapsed="false" customWidth="true" hidden="false" outlineLevel="0" max="6" min="6" style="0" width="30"/>
    <col collapsed="false" customWidth="true" hidden="false" outlineLevel="0" max="7" min="7" style="0" width="24"/>
    <col collapsed="false" customWidth="true" hidden="false" outlineLevel="0" max="8" min="8" style="0" width="8"/>
    <col collapsed="false" customWidth="true" hidden="false" outlineLevel="0" max="9" min="9" style="0" width="9"/>
    <col collapsed="false" customWidth="true" hidden="false" outlineLevel="0" max="10" min="10" style="0" width="14"/>
    <col collapsed="false" customWidth="true" hidden="false" outlineLevel="0" max="11" min="11" style="0" width="8"/>
  </cols>
  <sheetData>
    <row r="1" customFormat="false" ht="17.35" hidden="false" customHeight="false" outlineLevel="0" collapsed="false">
      <c r="A1" s="1" t="s">
        <v>225</v>
      </c>
    </row>
    <row r="2" customFormat="false" ht="15" hidden="false" customHeight="false" outlineLevel="0" collapsed="false">
      <c r="A2" s="2" t="s">
        <v>226</v>
      </c>
    </row>
    <row r="3" customFormat="false" ht="23.85" hidden="false" customHeight="false" outlineLevel="0" collapsed="false">
      <c r="A3" s="3" t="s">
        <v>49</v>
      </c>
      <c r="B3" s="3" t="s">
        <v>227</v>
      </c>
      <c r="C3" s="3" t="s">
        <v>228</v>
      </c>
      <c r="D3" s="3" t="s">
        <v>229</v>
      </c>
      <c r="E3" s="3" t="s">
        <v>230</v>
      </c>
      <c r="F3" s="3" t="s">
        <v>231</v>
      </c>
      <c r="G3" s="3" t="s">
        <v>232</v>
      </c>
      <c r="H3" s="3" t="s">
        <v>233</v>
      </c>
      <c r="I3" s="3" t="s">
        <v>234</v>
      </c>
      <c r="J3" s="3" t="s">
        <v>235</v>
      </c>
      <c r="K3" s="3" t="s">
        <v>236</v>
      </c>
    </row>
    <row r="4" customFormat="false" ht="46.25" hidden="false" customHeight="false" outlineLevel="0" collapsed="false">
      <c r="A4" s="4" t="s">
        <v>237</v>
      </c>
      <c r="B4" s="4" t="s">
        <v>238</v>
      </c>
      <c r="C4" s="4" t="s">
        <v>239</v>
      </c>
      <c r="D4" s="4" t="s">
        <v>240</v>
      </c>
      <c r="E4" s="4" t="s">
        <v>241</v>
      </c>
      <c r="F4" s="4" t="s">
        <v>242</v>
      </c>
      <c r="G4" s="4" t="s">
        <v>243</v>
      </c>
      <c r="H4" s="4" t="s">
        <v>244</v>
      </c>
      <c r="I4" s="4" t="s">
        <v>245</v>
      </c>
      <c r="J4" s="4" t="s">
        <v>246</v>
      </c>
      <c r="K4" s="4" t="s">
        <v>247</v>
      </c>
    </row>
    <row r="5" customFormat="false" ht="46.25" hidden="false" customHeight="false" outlineLevel="0" collapsed="false">
      <c r="A5" s="4" t="s">
        <v>248</v>
      </c>
      <c r="B5" s="4" t="s">
        <v>249</v>
      </c>
      <c r="C5" s="4" t="s">
        <v>250</v>
      </c>
      <c r="D5" s="4" t="s">
        <v>251</v>
      </c>
      <c r="E5" s="4" t="s">
        <v>252</v>
      </c>
      <c r="F5" s="4" t="s">
        <v>253</v>
      </c>
      <c r="G5" s="4" t="s">
        <v>254</v>
      </c>
      <c r="H5" s="4" t="s">
        <v>255</v>
      </c>
      <c r="I5" s="4" t="s">
        <v>256</v>
      </c>
      <c r="J5" s="4" t="s">
        <v>257</v>
      </c>
      <c r="K5" s="4" t="s">
        <v>258</v>
      </c>
    </row>
    <row r="6" customFormat="false" ht="46.25" hidden="false" customHeight="false" outlineLevel="0" collapsed="false">
      <c r="A6" s="4" t="s">
        <v>259</v>
      </c>
      <c r="B6" s="4" t="s">
        <v>260</v>
      </c>
      <c r="C6" s="4" t="s">
        <v>261</v>
      </c>
      <c r="D6" s="4" t="s">
        <v>262</v>
      </c>
      <c r="E6" s="4" t="s">
        <v>263</v>
      </c>
      <c r="F6" s="4" t="s">
        <v>264</v>
      </c>
      <c r="G6" s="4" t="s">
        <v>265</v>
      </c>
      <c r="H6" s="4" t="s">
        <v>266</v>
      </c>
      <c r="I6" s="4" t="s">
        <v>267</v>
      </c>
      <c r="J6" s="4" t="s">
        <v>268</v>
      </c>
      <c r="K6" s="4" t="s">
        <v>269</v>
      </c>
    </row>
    <row r="7" customFormat="false" ht="46.25" hidden="false" customHeight="false" outlineLevel="0" collapsed="false">
      <c r="A7" s="4" t="s">
        <v>270</v>
      </c>
      <c r="B7" s="4" t="s">
        <v>271</v>
      </c>
      <c r="C7" s="4" t="s">
        <v>272</v>
      </c>
      <c r="D7" s="4" t="s">
        <v>273</v>
      </c>
      <c r="E7" s="4" t="s">
        <v>274</v>
      </c>
      <c r="F7" s="4" t="s">
        <v>275</v>
      </c>
      <c r="G7" s="4" t="s">
        <v>276</v>
      </c>
      <c r="H7" s="4" t="s">
        <v>277</v>
      </c>
      <c r="I7" s="4" t="s">
        <v>278</v>
      </c>
      <c r="J7" s="4" t="s">
        <v>279</v>
      </c>
      <c r="K7" s="4" t="s">
        <v>280</v>
      </c>
    </row>
    <row r="8" customFormat="false" ht="46.25" hidden="false" customHeight="false" outlineLevel="0" collapsed="false">
      <c r="A8" s="4" t="s">
        <v>281</v>
      </c>
      <c r="B8" s="4" t="s">
        <v>282</v>
      </c>
      <c r="C8" s="4" t="s">
        <v>283</v>
      </c>
      <c r="D8" s="4" t="s">
        <v>284</v>
      </c>
      <c r="E8" s="4" t="s">
        <v>285</v>
      </c>
      <c r="F8" s="4" t="s">
        <v>286</v>
      </c>
      <c r="G8" s="4" t="s">
        <v>287</v>
      </c>
      <c r="H8" s="4" t="s">
        <v>277</v>
      </c>
      <c r="I8" s="4" t="s">
        <v>288</v>
      </c>
      <c r="J8" s="4" t="s">
        <v>289</v>
      </c>
      <c r="K8" s="4" t="s">
        <v>290</v>
      </c>
    </row>
    <row r="9" customFormat="false" ht="35.05" hidden="false" customHeight="false" outlineLevel="0" collapsed="false">
      <c r="A9" s="4" t="s">
        <v>291</v>
      </c>
      <c r="B9" s="4" t="s">
        <v>292</v>
      </c>
      <c r="C9" s="4" t="s">
        <v>293</v>
      </c>
      <c r="D9" s="4" t="s">
        <v>294</v>
      </c>
      <c r="E9" s="4" t="s">
        <v>295</v>
      </c>
      <c r="F9" s="4" t="s">
        <v>296</v>
      </c>
      <c r="G9" s="4" t="s">
        <v>297</v>
      </c>
      <c r="H9" s="4" t="s">
        <v>244</v>
      </c>
      <c r="I9" s="4" t="s">
        <v>288</v>
      </c>
      <c r="J9" s="4" t="s">
        <v>298</v>
      </c>
      <c r="K9" s="4" t="s">
        <v>299</v>
      </c>
    </row>
    <row r="10" customFormat="false" ht="46.25" hidden="false" customHeight="false" outlineLevel="0" collapsed="false">
      <c r="A10" s="4" t="s">
        <v>300</v>
      </c>
      <c r="B10" s="4" t="s">
        <v>301</v>
      </c>
      <c r="C10" s="4" t="s">
        <v>302</v>
      </c>
      <c r="D10" s="4" t="s">
        <v>303</v>
      </c>
      <c r="E10" s="4" t="s">
        <v>304</v>
      </c>
      <c r="F10" s="4" t="s">
        <v>305</v>
      </c>
      <c r="G10" s="4" t="s">
        <v>306</v>
      </c>
      <c r="H10" s="4" t="s">
        <v>255</v>
      </c>
      <c r="I10" s="4" t="s">
        <v>307</v>
      </c>
      <c r="J10" s="4" t="s">
        <v>308</v>
      </c>
      <c r="K10" s="4" t="s">
        <v>309</v>
      </c>
    </row>
    <row r="11" customFormat="false" ht="46.25" hidden="false" customHeight="false" outlineLevel="0" collapsed="false">
      <c r="A11" s="4" t="s">
        <v>310</v>
      </c>
      <c r="B11" s="4" t="s">
        <v>311</v>
      </c>
      <c r="C11" s="4" t="s">
        <v>312</v>
      </c>
      <c r="D11" s="4" t="s">
        <v>313</v>
      </c>
      <c r="E11" s="4" t="s">
        <v>314</v>
      </c>
      <c r="F11" s="4" t="s">
        <v>315</v>
      </c>
      <c r="G11" s="4" t="s">
        <v>316</v>
      </c>
      <c r="H11" s="4" t="s">
        <v>255</v>
      </c>
      <c r="I11" s="4" t="s">
        <v>278</v>
      </c>
      <c r="J11" s="4" t="s">
        <v>317</v>
      </c>
      <c r="K11" s="4" t="s">
        <v>318</v>
      </c>
    </row>
    <row r="12" customFormat="false" ht="46.25" hidden="false" customHeight="false" outlineLevel="0" collapsed="false">
      <c r="A12" s="4" t="s">
        <v>319</v>
      </c>
      <c r="B12" s="4" t="s">
        <v>320</v>
      </c>
      <c r="C12" s="4" t="s">
        <v>321</v>
      </c>
      <c r="D12" s="4" t="s">
        <v>322</v>
      </c>
      <c r="E12" s="4" t="s">
        <v>241</v>
      </c>
      <c r="F12" s="4" t="s">
        <v>323</v>
      </c>
      <c r="G12" s="4" t="s">
        <v>324</v>
      </c>
      <c r="H12" s="4" t="s">
        <v>325</v>
      </c>
      <c r="I12" s="4" t="s">
        <v>326</v>
      </c>
      <c r="J12" s="4" t="s">
        <v>327</v>
      </c>
      <c r="K12" s="4" t="s">
        <v>328</v>
      </c>
    </row>
    <row r="13" customFormat="false" ht="35.05" hidden="false" customHeight="false" outlineLevel="0" collapsed="false">
      <c r="A13" s="4" t="s">
        <v>329</v>
      </c>
      <c r="B13" s="4" t="s">
        <v>330</v>
      </c>
      <c r="C13" s="4" t="s">
        <v>331</v>
      </c>
      <c r="D13" s="4" t="s">
        <v>332</v>
      </c>
      <c r="E13" s="4" t="s">
        <v>333</v>
      </c>
      <c r="F13" s="4" t="s">
        <v>334</v>
      </c>
      <c r="G13" s="4" t="s">
        <v>335</v>
      </c>
      <c r="H13" s="4" t="s">
        <v>336</v>
      </c>
      <c r="I13" s="4" t="s">
        <v>337</v>
      </c>
      <c r="J13" s="4" t="s">
        <v>338</v>
      </c>
      <c r="K13" s="4" t="s">
        <v>339</v>
      </c>
    </row>
    <row r="14" customFormat="false" ht="35.05" hidden="false" customHeight="false" outlineLevel="0" collapsed="false">
      <c r="A14" s="4" t="s">
        <v>340</v>
      </c>
      <c r="B14" s="4" t="s">
        <v>341</v>
      </c>
      <c r="C14" s="4" t="s">
        <v>342</v>
      </c>
      <c r="D14" s="4" t="s">
        <v>343</v>
      </c>
      <c r="E14" s="4" t="s">
        <v>344</v>
      </c>
      <c r="F14" s="4" t="s">
        <v>345</v>
      </c>
      <c r="G14" s="4" t="s">
        <v>346</v>
      </c>
      <c r="H14" s="4" t="s">
        <v>277</v>
      </c>
      <c r="I14" s="4" t="s">
        <v>347</v>
      </c>
      <c r="J14" s="4" t="s">
        <v>348</v>
      </c>
      <c r="K14" s="4" t="s">
        <v>349</v>
      </c>
    </row>
    <row r="15" customFormat="false" ht="35.05" hidden="false" customHeight="false" outlineLevel="0" collapsed="false">
      <c r="A15" s="4" t="s">
        <v>350</v>
      </c>
      <c r="B15" s="4" t="s">
        <v>351</v>
      </c>
      <c r="C15" s="4" t="s">
        <v>352</v>
      </c>
      <c r="D15" s="4" t="s">
        <v>353</v>
      </c>
      <c r="E15" s="4" t="s">
        <v>354</v>
      </c>
      <c r="F15" s="4" t="s">
        <v>355</v>
      </c>
      <c r="G15" s="4" t="s">
        <v>356</v>
      </c>
      <c r="H15" s="4" t="s">
        <v>357</v>
      </c>
      <c r="I15" s="4" t="s">
        <v>358</v>
      </c>
      <c r="J15" s="4" t="s">
        <v>359</v>
      </c>
      <c r="K15" s="4" t="s">
        <v>360</v>
      </c>
    </row>
    <row r="16" customFormat="false" ht="35.05" hidden="false" customHeight="false" outlineLevel="0" collapsed="false">
      <c r="A16" s="4" t="s">
        <v>361</v>
      </c>
      <c r="B16" s="4" t="s">
        <v>362</v>
      </c>
      <c r="C16" s="4" t="s">
        <v>363</v>
      </c>
      <c r="D16" s="4" t="s">
        <v>364</v>
      </c>
      <c r="E16" s="4" t="s">
        <v>365</v>
      </c>
      <c r="F16" s="4" t="s">
        <v>366</v>
      </c>
      <c r="G16" s="4" t="s">
        <v>367</v>
      </c>
      <c r="H16" s="4" t="s">
        <v>255</v>
      </c>
      <c r="I16" s="4" t="s">
        <v>368</v>
      </c>
      <c r="J16" s="4" t="s">
        <v>369</v>
      </c>
      <c r="K16" s="4" t="s">
        <v>370</v>
      </c>
    </row>
    <row r="17" customFormat="false" ht="35.05" hidden="false" customHeight="false" outlineLevel="0" collapsed="false">
      <c r="A17" s="4" t="s">
        <v>371</v>
      </c>
      <c r="B17" s="4" t="s">
        <v>372</v>
      </c>
      <c r="C17" s="4" t="s">
        <v>373</v>
      </c>
      <c r="D17" s="4" t="s">
        <v>313</v>
      </c>
      <c r="E17" s="4" t="s">
        <v>374</v>
      </c>
      <c r="F17" s="4" t="s">
        <v>375</v>
      </c>
      <c r="G17" s="4" t="s">
        <v>376</v>
      </c>
      <c r="H17" s="4" t="s">
        <v>377</v>
      </c>
      <c r="I17" s="4" t="s">
        <v>278</v>
      </c>
      <c r="J17" s="4" t="s">
        <v>378</v>
      </c>
      <c r="K17" s="4" t="s">
        <v>379</v>
      </c>
    </row>
    <row r="18" customFormat="false" ht="35.05" hidden="false" customHeight="false" outlineLevel="0" collapsed="false">
      <c r="A18" s="4" t="s">
        <v>380</v>
      </c>
      <c r="B18" s="4" t="s">
        <v>381</v>
      </c>
      <c r="C18" s="4" t="s">
        <v>382</v>
      </c>
      <c r="D18" s="4" t="s">
        <v>383</v>
      </c>
      <c r="E18" s="4" t="s">
        <v>384</v>
      </c>
      <c r="F18" s="4" t="s">
        <v>385</v>
      </c>
      <c r="G18" s="4" t="s">
        <v>386</v>
      </c>
      <c r="H18" s="4" t="s">
        <v>277</v>
      </c>
      <c r="I18" s="4" t="s">
        <v>278</v>
      </c>
      <c r="J18" s="4" t="s">
        <v>387</v>
      </c>
      <c r="K18" s="4" t="s">
        <v>379</v>
      </c>
    </row>
    <row r="19" customFormat="false" ht="35.05" hidden="false" customHeight="false" outlineLevel="0" collapsed="false">
      <c r="A19" s="4" t="s">
        <v>388</v>
      </c>
      <c r="B19" s="4" t="s">
        <v>389</v>
      </c>
      <c r="C19" s="4" t="s">
        <v>390</v>
      </c>
      <c r="D19" s="4" t="s">
        <v>262</v>
      </c>
      <c r="E19" s="4" t="s">
        <v>391</v>
      </c>
      <c r="F19" s="4" t="s">
        <v>392</v>
      </c>
      <c r="G19" s="4" t="s">
        <v>393</v>
      </c>
      <c r="H19" s="4" t="s">
        <v>336</v>
      </c>
      <c r="I19" s="4" t="s">
        <v>394</v>
      </c>
      <c r="J19" s="4" t="s">
        <v>395</v>
      </c>
      <c r="K19" s="4" t="s">
        <v>396</v>
      </c>
    </row>
    <row r="20" customFormat="false" ht="35.05" hidden="false" customHeight="false" outlineLevel="0" collapsed="false">
      <c r="A20" s="4" t="s">
        <v>397</v>
      </c>
      <c r="B20" s="4" t="s">
        <v>398</v>
      </c>
      <c r="C20" s="4" t="s">
        <v>399</v>
      </c>
      <c r="D20" s="4" t="s">
        <v>400</v>
      </c>
      <c r="E20" s="4" t="s">
        <v>401</v>
      </c>
      <c r="F20" s="4" t="s">
        <v>402</v>
      </c>
      <c r="G20" s="4" t="s">
        <v>403</v>
      </c>
      <c r="H20" s="4" t="s">
        <v>377</v>
      </c>
      <c r="I20" s="4" t="s">
        <v>404</v>
      </c>
      <c r="J20" s="4" t="s">
        <v>405</v>
      </c>
      <c r="K20" s="4" t="s">
        <v>406</v>
      </c>
    </row>
    <row r="21" customFormat="false" ht="35.05" hidden="false" customHeight="false" outlineLevel="0" collapsed="false">
      <c r="A21" s="4" t="s">
        <v>407</v>
      </c>
      <c r="B21" s="4" t="s">
        <v>408</v>
      </c>
      <c r="C21" s="4" t="s">
        <v>409</v>
      </c>
      <c r="D21" s="4" t="s">
        <v>410</v>
      </c>
      <c r="E21" s="4" t="s">
        <v>411</v>
      </c>
      <c r="F21" s="4" t="s">
        <v>412</v>
      </c>
      <c r="G21" s="4" t="s">
        <v>413</v>
      </c>
      <c r="H21" s="4" t="s">
        <v>357</v>
      </c>
      <c r="I21" s="4" t="s">
        <v>337</v>
      </c>
      <c r="J21" s="4" t="s">
        <v>414</v>
      </c>
      <c r="K21" s="4" t="s">
        <v>415</v>
      </c>
    </row>
    <row r="22" customFormat="false" ht="35.05" hidden="false" customHeight="false" outlineLevel="0" collapsed="false">
      <c r="A22" s="4" t="s">
        <v>416</v>
      </c>
      <c r="B22" s="4" t="s">
        <v>417</v>
      </c>
      <c r="C22" s="4" t="s">
        <v>418</v>
      </c>
      <c r="D22" s="4" t="s">
        <v>419</v>
      </c>
      <c r="E22" s="4" t="s">
        <v>420</v>
      </c>
      <c r="F22" s="4" t="s">
        <v>421</v>
      </c>
      <c r="G22" s="4" t="s">
        <v>422</v>
      </c>
      <c r="H22" s="4" t="s">
        <v>277</v>
      </c>
      <c r="I22" s="4" t="s">
        <v>288</v>
      </c>
      <c r="J22" s="4" t="s">
        <v>423</v>
      </c>
      <c r="K22" s="4" t="s">
        <v>424</v>
      </c>
    </row>
    <row r="23" customFormat="false" ht="23.85" hidden="false" customHeight="false" outlineLevel="0" collapsed="false">
      <c r="A23" s="4" t="s">
        <v>425</v>
      </c>
      <c r="B23" s="4" t="s">
        <v>426</v>
      </c>
      <c r="C23" s="4" t="s">
        <v>427</v>
      </c>
      <c r="D23" s="4" t="s">
        <v>428</v>
      </c>
      <c r="E23" s="4" t="s">
        <v>241</v>
      </c>
      <c r="F23" s="4" t="s">
        <v>429</v>
      </c>
      <c r="G23" s="4" t="s">
        <v>430</v>
      </c>
      <c r="H23" s="4" t="s">
        <v>244</v>
      </c>
      <c r="I23" s="4" t="s">
        <v>278</v>
      </c>
      <c r="J23" s="4" t="s">
        <v>387</v>
      </c>
      <c r="K23" s="4" t="s">
        <v>379</v>
      </c>
    </row>
    <row r="24" customFormat="false" ht="35.05" hidden="false" customHeight="false" outlineLevel="0" collapsed="false">
      <c r="A24" s="4" t="s">
        <v>431</v>
      </c>
      <c r="B24" s="4" t="s">
        <v>432</v>
      </c>
      <c r="C24" s="4" t="s">
        <v>433</v>
      </c>
      <c r="D24" s="4" t="s">
        <v>434</v>
      </c>
      <c r="E24" s="4" t="s">
        <v>435</v>
      </c>
      <c r="F24" s="4" t="s">
        <v>436</v>
      </c>
      <c r="G24" s="4" t="s">
        <v>437</v>
      </c>
      <c r="H24" s="4" t="s">
        <v>277</v>
      </c>
      <c r="I24" s="4" t="s">
        <v>288</v>
      </c>
      <c r="J24" s="4" t="s">
        <v>438</v>
      </c>
      <c r="K24" s="4" t="s">
        <v>439</v>
      </c>
    </row>
    <row r="25" customFormat="false" ht="35.05" hidden="false" customHeight="false" outlineLevel="0" collapsed="false">
      <c r="A25" s="4" t="s">
        <v>440</v>
      </c>
      <c r="B25" s="4" t="s">
        <v>441</v>
      </c>
      <c r="C25" s="4" t="s">
        <v>442</v>
      </c>
      <c r="D25" s="4" t="s">
        <v>443</v>
      </c>
      <c r="E25" s="4" t="s">
        <v>444</v>
      </c>
      <c r="F25" s="4" t="s">
        <v>445</v>
      </c>
      <c r="G25" s="4" t="s">
        <v>446</v>
      </c>
      <c r="H25" s="4" t="s">
        <v>255</v>
      </c>
      <c r="I25" s="4" t="s">
        <v>447</v>
      </c>
      <c r="J25" s="4" t="s">
        <v>448</v>
      </c>
      <c r="K25" s="4" t="s">
        <v>449</v>
      </c>
    </row>
    <row r="26" customFormat="false" ht="35.05" hidden="false" customHeight="false" outlineLevel="0" collapsed="false">
      <c r="A26" s="4" t="s">
        <v>450</v>
      </c>
      <c r="B26" s="4" t="s">
        <v>451</v>
      </c>
      <c r="C26" s="4" t="s">
        <v>452</v>
      </c>
      <c r="D26" s="4" t="s">
        <v>453</v>
      </c>
      <c r="E26" s="4" t="s">
        <v>241</v>
      </c>
      <c r="F26" s="4" t="s">
        <v>454</v>
      </c>
      <c r="G26" s="4" t="s">
        <v>455</v>
      </c>
      <c r="H26" s="4" t="s">
        <v>255</v>
      </c>
      <c r="I26" s="4" t="s">
        <v>456</v>
      </c>
      <c r="J26" s="4" t="s">
        <v>457</v>
      </c>
      <c r="K26" s="4" t="s">
        <v>458</v>
      </c>
    </row>
    <row r="27" customFormat="false" ht="46.25" hidden="false" customHeight="false" outlineLevel="0" collapsed="false">
      <c r="A27" s="4" t="s">
        <v>459</v>
      </c>
      <c r="B27" s="4" t="s">
        <v>460</v>
      </c>
      <c r="C27" s="4" t="s">
        <v>461</v>
      </c>
      <c r="D27" s="4" t="s">
        <v>383</v>
      </c>
      <c r="E27" s="4" t="s">
        <v>462</v>
      </c>
      <c r="F27" s="4" t="s">
        <v>463</v>
      </c>
      <c r="G27" s="4" t="s">
        <v>464</v>
      </c>
      <c r="H27" s="4" t="s">
        <v>277</v>
      </c>
      <c r="I27" s="4" t="s">
        <v>337</v>
      </c>
      <c r="J27" s="4" t="s">
        <v>465</v>
      </c>
      <c r="K27" s="4" t="s">
        <v>466</v>
      </c>
    </row>
    <row r="28" customFormat="false" ht="35.05" hidden="false" customHeight="false" outlineLevel="0" collapsed="false">
      <c r="A28" s="4" t="s">
        <v>467</v>
      </c>
      <c r="B28" s="4" t="s">
        <v>468</v>
      </c>
      <c r="C28" s="4" t="s">
        <v>469</v>
      </c>
      <c r="D28" s="4" t="s">
        <v>470</v>
      </c>
      <c r="E28" s="4" t="s">
        <v>471</v>
      </c>
      <c r="F28" s="4" t="s">
        <v>472</v>
      </c>
      <c r="G28" s="4" t="s">
        <v>473</v>
      </c>
      <c r="H28" s="4" t="s">
        <v>277</v>
      </c>
      <c r="I28" s="4" t="s">
        <v>288</v>
      </c>
      <c r="J28" s="4" t="s">
        <v>474</v>
      </c>
      <c r="K28" s="4" t="s">
        <v>475</v>
      </c>
    </row>
    <row r="29" customFormat="false" ht="35.05" hidden="false" customHeight="false" outlineLevel="0" collapsed="false">
      <c r="A29" s="4" t="s">
        <v>476</v>
      </c>
      <c r="B29" s="4" t="s">
        <v>477</v>
      </c>
      <c r="C29" s="4" t="s">
        <v>478</v>
      </c>
      <c r="D29" s="4" t="s">
        <v>262</v>
      </c>
      <c r="E29" s="4" t="s">
        <v>241</v>
      </c>
      <c r="F29" s="4" t="s">
        <v>479</v>
      </c>
      <c r="G29" s="4" t="s">
        <v>480</v>
      </c>
      <c r="H29" s="4" t="s">
        <v>255</v>
      </c>
      <c r="I29" s="4" t="s">
        <v>481</v>
      </c>
      <c r="J29" s="4" t="s">
        <v>482</v>
      </c>
      <c r="K29" s="4" t="s">
        <v>483</v>
      </c>
    </row>
    <row r="30" customFormat="false" ht="35.05" hidden="false" customHeight="false" outlineLevel="0" collapsed="false">
      <c r="A30" s="4" t="s">
        <v>484</v>
      </c>
      <c r="B30" s="4" t="s">
        <v>485</v>
      </c>
      <c r="C30" s="4" t="s">
        <v>486</v>
      </c>
      <c r="D30" s="4" t="s">
        <v>487</v>
      </c>
      <c r="E30" s="4" t="s">
        <v>488</v>
      </c>
      <c r="F30" s="4" t="s">
        <v>489</v>
      </c>
      <c r="G30" s="4" t="s">
        <v>490</v>
      </c>
      <c r="H30" s="4" t="s">
        <v>325</v>
      </c>
      <c r="I30" s="4" t="s">
        <v>288</v>
      </c>
      <c r="J30" s="4" t="s">
        <v>491</v>
      </c>
      <c r="K30" s="4" t="s">
        <v>492</v>
      </c>
    </row>
    <row r="31" customFormat="false" ht="23.85" hidden="false" customHeight="false" outlineLevel="0" collapsed="false">
      <c r="A31" s="4" t="s">
        <v>493</v>
      </c>
      <c r="B31" s="4" t="s">
        <v>494</v>
      </c>
      <c r="C31" s="4" t="s">
        <v>495</v>
      </c>
      <c r="D31" s="4" t="s">
        <v>496</v>
      </c>
      <c r="E31" s="4" t="s">
        <v>497</v>
      </c>
      <c r="F31" s="4" t="s">
        <v>498</v>
      </c>
      <c r="G31" s="4" t="s">
        <v>346</v>
      </c>
      <c r="H31" s="4" t="s">
        <v>277</v>
      </c>
      <c r="I31" s="4" t="s">
        <v>288</v>
      </c>
      <c r="J31" s="4" t="s">
        <v>499</v>
      </c>
      <c r="K31" s="4" t="s">
        <v>500</v>
      </c>
    </row>
    <row r="32" customFormat="false" ht="46.25" hidden="false" customHeight="false" outlineLevel="0" collapsed="false">
      <c r="A32" s="4" t="s">
        <v>501</v>
      </c>
      <c r="B32" s="4" t="s">
        <v>502</v>
      </c>
      <c r="C32" s="4" t="s">
        <v>503</v>
      </c>
      <c r="D32" s="4" t="s">
        <v>383</v>
      </c>
      <c r="E32" s="4" t="s">
        <v>504</v>
      </c>
      <c r="F32" s="4" t="s">
        <v>505</v>
      </c>
      <c r="G32" s="4" t="s">
        <v>506</v>
      </c>
      <c r="H32" s="4" t="s">
        <v>277</v>
      </c>
      <c r="I32" s="4" t="s">
        <v>256</v>
      </c>
      <c r="J32" s="4" t="s">
        <v>507</v>
      </c>
      <c r="K32" s="4" t="s">
        <v>508</v>
      </c>
    </row>
    <row r="33" customFormat="false" ht="35.05" hidden="false" customHeight="false" outlineLevel="0" collapsed="false">
      <c r="A33" s="4" t="s">
        <v>509</v>
      </c>
      <c r="B33" s="4" t="s">
        <v>510</v>
      </c>
      <c r="C33" s="4" t="s">
        <v>511</v>
      </c>
      <c r="D33" s="4" t="s">
        <v>428</v>
      </c>
      <c r="E33" s="4" t="s">
        <v>512</v>
      </c>
      <c r="F33" s="4" t="s">
        <v>513</v>
      </c>
      <c r="G33" s="4" t="s">
        <v>430</v>
      </c>
      <c r="H33" s="4" t="s">
        <v>244</v>
      </c>
      <c r="I33" s="4" t="s">
        <v>337</v>
      </c>
      <c r="J33" s="4" t="s">
        <v>514</v>
      </c>
      <c r="K33" s="4" t="s">
        <v>515</v>
      </c>
    </row>
    <row r="34" customFormat="false" ht="35.05" hidden="false" customHeight="false" outlineLevel="0" collapsed="false">
      <c r="A34" s="4" t="s">
        <v>516</v>
      </c>
      <c r="B34" s="4" t="s">
        <v>517</v>
      </c>
      <c r="C34" s="4" t="s">
        <v>518</v>
      </c>
      <c r="D34" s="4" t="s">
        <v>303</v>
      </c>
      <c r="E34" s="4" t="s">
        <v>519</v>
      </c>
      <c r="F34" s="4" t="s">
        <v>520</v>
      </c>
      <c r="G34" s="4" t="s">
        <v>521</v>
      </c>
      <c r="H34" s="4" t="s">
        <v>325</v>
      </c>
      <c r="I34" s="4" t="s">
        <v>456</v>
      </c>
      <c r="J34" s="4" t="s">
        <v>522</v>
      </c>
      <c r="K34" s="4" t="s">
        <v>523</v>
      </c>
    </row>
    <row r="35" customFormat="false" ht="35.05" hidden="false" customHeight="false" outlineLevel="0" collapsed="false">
      <c r="A35" s="4" t="s">
        <v>213</v>
      </c>
      <c r="B35" s="4" t="s">
        <v>524</v>
      </c>
      <c r="C35" s="4" t="s">
        <v>525</v>
      </c>
      <c r="D35" s="4" t="s">
        <v>526</v>
      </c>
      <c r="E35" s="4" t="s">
        <v>527</v>
      </c>
      <c r="F35" s="4" t="s">
        <v>528</v>
      </c>
      <c r="G35" s="4" t="s">
        <v>529</v>
      </c>
      <c r="H35" s="4" t="s">
        <v>244</v>
      </c>
      <c r="I35" s="4" t="s">
        <v>326</v>
      </c>
      <c r="J35" s="4" t="s">
        <v>530</v>
      </c>
      <c r="K35" s="4" t="s">
        <v>531</v>
      </c>
    </row>
    <row r="36" customFormat="false" ht="46.25" hidden="false" customHeight="false" outlineLevel="0" collapsed="false">
      <c r="A36" s="4" t="s">
        <v>532</v>
      </c>
      <c r="B36" s="4" t="s">
        <v>533</v>
      </c>
      <c r="C36" s="4" t="s">
        <v>534</v>
      </c>
      <c r="D36" s="4" t="s">
        <v>535</v>
      </c>
      <c r="E36" s="4" t="s">
        <v>536</v>
      </c>
      <c r="F36" s="4" t="s">
        <v>537</v>
      </c>
      <c r="G36" s="4" t="s">
        <v>538</v>
      </c>
      <c r="H36" s="4" t="s">
        <v>277</v>
      </c>
      <c r="I36" s="4" t="s">
        <v>307</v>
      </c>
      <c r="J36" s="4" t="s">
        <v>539</v>
      </c>
      <c r="K36" s="4" t="s">
        <v>540</v>
      </c>
    </row>
    <row r="37" customFormat="false" ht="23.85" hidden="false" customHeight="false" outlineLevel="0" collapsed="false">
      <c r="A37" s="4" t="s">
        <v>541</v>
      </c>
      <c r="B37" s="4" t="s">
        <v>542</v>
      </c>
      <c r="C37" s="4" t="s">
        <v>543</v>
      </c>
      <c r="D37" s="4" t="s">
        <v>262</v>
      </c>
      <c r="E37" s="4" t="s">
        <v>252</v>
      </c>
      <c r="F37" s="4" t="s">
        <v>544</v>
      </c>
      <c r="G37" s="4" t="s">
        <v>545</v>
      </c>
      <c r="H37" s="4" t="s">
        <v>336</v>
      </c>
      <c r="I37" s="4" t="s">
        <v>456</v>
      </c>
      <c r="J37" s="4" t="s">
        <v>546</v>
      </c>
      <c r="K37" s="4" t="s">
        <v>379</v>
      </c>
    </row>
    <row r="38" customFormat="false" ht="23.85" hidden="false" customHeight="false" outlineLevel="0" collapsed="false">
      <c r="A38" s="4" t="s">
        <v>547</v>
      </c>
      <c r="B38" s="4" t="s">
        <v>548</v>
      </c>
      <c r="C38" s="4" t="s">
        <v>549</v>
      </c>
      <c r="D38" s="4" t="s">
        <v>428</v>
      </c>
      <c r="E38" s="4" t="s">
        <v>550</v>
      </c>
      <c r="F38" s="4" t="s">
        <v>551</v>
      </c>
      <c r="G38" s="4" t="s">
        <v>552</v>
      </c>
      <c r="H38" s="4" t="s">
        <v>255</v>
      </c>
      <c r="I38" s="4" t="s">
        <v>278</v>
      </c>
      <c r="J38" s="4" t="s">
        <v>553</v>
      </c>
      <c r="K38" s="4" t="s">
        <v>379</v>
      </c>
    </row>
    <row r="39" customFormat="false" ht="23.85" hidden="false" customHeight="false" outlineLevel="0" collapsed="false">
      <c r="A39" s="4" t="s">
        <v>554</v>
      </c>
      <c r="B39" s="4" t="s">
        <v>555</v>
      </c>
      <c r="C39" s="4" t="s">
        <v>556</v>
      </c>
      <c r="D39" s="4" t="s">
        <v>419</v>
      </c>
      <c r="E39" s="4" t="s">
        <v>241</v>
      </c>
      <c r="F39" s="4" t="s">
        <v>557</v>
      </c>
      <c r="G39" s="4" t="s">
        <v>558</v>
      </c>
      <c r="H39" s="4" t="s">
        <v>244</v>
      </c>
      <c r="I39" s="4" t="s">
        <v>278</v>
      </c>
      <c r="J39" s="4" t="s">
        <v>559</v>
      </c>
      <c r="K39" s="4" t="s">
        <v>379</v>
      </c>
    </row>
    <row r="40" customFormat="false" ht="23.85" hidden="false" customHeight="false" outlineLevel="0" collapsed="false">
      <c r="A40" s="4" t="s">
        <v>560</v>
      </c>
      <c r="B40" s="4" t="s">
        <v>561</v>
      </c>
      <c r="C40" s="4" t="s">
        <v>562</v>
      </c>
      <c r="D40" s="4" t="s">
        <v>187</v>
      </c>
      <c r="E40" s="4" t="s">
        <v>241</v>
      </c>
      <c r="F40" s="4" t="s">
        <v>563</v>
      </c>
      <c r="G40" s="4" t="s">
        <v>564</v>
      </c>
      <c r="H40" s="4" t="s">
        <v>336</v>
      </c>
      <c r="I40" s="4" t="s">
        <v>288</v>
      </c>
      <c r="J40" s="4" t="s">
        <v>565</v>
      </c>
      <c r="K40" s="4" t="s">
        <v>379</v>
      </c>
    </row>
    <row r="41" customFormat="false" ht="23.85" hidden="false" customHeight="false" outlineLevel="0" collapsed="false">
      <c r="A41" s="4" t="s">
        <v>566</v>
      </c>
      <c r="B41" s="4" t="s">
        <v>567</v>
      </c>
      <c r="C41" s="4" t="s">
        <v>568</v>
      </c>
      <c r="D41" s="4" t="s">
        <v>569</v>
      </c>
      <c r="E41" s="4" t="s">
        <v>411</v>
      </c>
      <c r="F41" s="4" t="s">
        <v>570</v>
      </c>
      <c r="G41" s="4" t="s">
        <v>571</v>
      </c>
      <c r="H41" s="4" t="s">
        <v>277</v>
      </c>
      <c r="I41" s="4" t="s">
        <v>288</v>
      </c>
      <c r="J41" s="4" t="s">
        <v>572</v>
      </c>
      <c r="K41" s="4" t="s">
        <v>379</v>
      </c>
    </row>
    <row r="42" customFormat="false" ht="23.85" hidden="false" customHeight="false" outlineLevel="0" collapsed="false">
      <c r="A42" s="4" t="s">
        <v>573</v>
      </c>
      <c r="B42" s="4" t="s">
        <v>574</v>
      </c>
      <c r="C42" s="4" t="s">
        <v>575</v>
      </c>
      <c r="D42" s="4" t="s">
        <v>576</v>
      </c>
      <c r="E42" s="4" t="s">
        <v>577</v>
      </c>
      <c r="F42" s="4" t="s">
        <v>578</v>
      </c>
      <c r="G42" s="4" t="s">
        <v>579</v>
      </c>
      <c r="H42" s="4" t="s">
        <v>377</v>
      </c>
      <c r="I42" s="4" t="s">
        <v>288</v>
      </c>
      <c r="J42" s="4" t="s">
        <v>580</v>
      </c>
      <c r="K42" s="4" t="s">
        <v>379</v>
      </c>
    </row>
    <row r="43" customFormat="false" ht="23.85" hidden="false" customHeight="false" outlineLevel="0" collapsed="false">
      <c r="A43" s="4" t="s">
        <v>581</v>
      </c>
      <c r="B43" s="4" t="s">
        <v>582</v>
      </c>
      <c r="C43" s="4" t="s">
        <v>583</v>
      </c>
      <c r="D43" s="4" t="s">
        <v>313</v>
      </c>
      <c r="E43" s="4" t="s">
        <v>374</v>
      </c>
      <c r="F43" s="4" t="s">
        <v>584</v>
      </c>
      <c r="G43" s="4" t="s">
        <v>585</v>
      </c>
      <c r="H43" s="4" t="s">
        <v>277</v>
      </c>
      <c r="I43" s="4" t="s">
        <v>278</v>
      </c>
      <c r="J43" s="4" t="s">
        <v>586</v>
      </c>
      <c r="K43" s="4" t="s">
        <v>379</v>
      </c>
    </row>
    <row r="44" customFormat="false" ht="23.85" hidden="false" customHeight="false" outlineLevel="0" collapsed="false">
      <c r="A44" s="4" t="s">
        <v>587</v>
      </c>
      <c r="B44" s="4" t="s">
        <v>588</v>
      </c>
      <c r="C44" s="4" t="s">
        <v>589</v>
      </c>
      <c r="D44" s="4" t="s">
        <v>590</v>
      </c>
      <c r="E44" s="4" t="s">
        <v>241</v>
      </c>
      <c r="F44" s="4" t="s">
        <v>591</v>
      </c>
      <c r="G44" s="4" t="s">
        <v>592</v>
      </c>
      <c r="H44" s="4" t="s">
        <v>277</v>
      </c>
      <c r="I44" s="4" t="s">
        <v>337</v>
      </c>
      <c r="J44" s="4" t="s">
        <v>593</v>
      </c>
      <c r="K44" s="4" t="s">
        <v>379</v>
      </c>
    </row>
    <row r="45" customFormat="false" ht="35.05" hidden="false" customHeight="false" outlineLevel="0" collapsed="false">
      <c r="A45" s="4" t="s">
        <v>594</v>
      </c>
      <c r="B45" s="4" t="s">
        <v>595</v>
      </c>
      <c r="C45" s="4" t="s">
        <v>596</v>
      </c>
      <c r="D45" s="4" t="s">
        <v>383</v>
      </c>
      <c r="E45" s="4" t="s">
        <v>597</v>
      </c>
      <c r="F45" s="4" t="s">
        <v>598</v>
      </c>
      <c r="G45" s="4" t="s">
        <v>346</v>
      </c>
      <c r="H45" s="4" t="s">
        <v>277</v>
      </c>
      <c r="I45" s="4" t="s">
        <v>394</v>
      </c>
      <c r="J45" s="4" t="s">
        <v>507</v>
      </c>
      <c r="K45" s="4" t="s">
        <v>379</v>
      </c>
    </row>
    <row r="46" customFormat="false" ht="23.85" hidden="false" customHeight="false" outlineLevel="0" collapsed="false">
      <c r="A46" s="4" t="s">
        <v>599</v>
      </c>
      <c r="B46" s="4" t="s">
        <v>600</v>
      </c>
      <c r="C46" s="4" t="s">
        <v>601</v>
      </c>
      <c r="D46" s="4" t="s">
        <v>294</v>
      </c>
      <c r="E46" s="4" t="s">
        <v>241</v>
      </c>
      <c r="F46" s="4" t="s">
        <v>602</v>
      </c>
      <c r="G46" s="4" t="s">
        <v>603</v>
      </c>
      <c r="H46" s="4" t="s">
        <v>325</v>
      </c>
      <c r="I46" s="4" t="s">
        <v>288</v>
      </c>
      <c r="J46" s="4" t="s">
        <v>604</v>
      </c>
      <c r="K46" s="4" t="s">
        <v>379</v>
      </c>
    </row>
    <row r="47" customFormat="false" ht="23.85" hidden="false" customHeight="false" outlineLevel="0" collapsed="false">
      <c r="A47" s="4" t="s">
        <v>605</v>
      </c>
      <c r="B47" s="4" t="s">
        <v>606</v>
      </c>
      <c r="C47" s="4" t="s">
        <v>607</v>
      </c>
      <c r="D47" s="4" t="s">
        <v>608</v>
      </c>
      <c r="E47" s="4" t="s">
        <v>609</v>
      </c>
      <c r="F47" s="4" t="s">
        <v>610</v>
      </c>
      <c r="G47" s="4" t="s">
        <v>611</v>
      </c>
      <c r="H47" s="4" t="s">
        <v>277</v>
      </c>
      <c r="I47" s="4" t="s">
        <v>358</v>
      </c>
      <c r="J47" s="4" t="s">
        <v>612</v>
      </c>
      <c r="K47" s="4" t="s">
        <v>379</v>
      </c>
    </row>
    <row r="48" customFormat="false" ht="23.85" hidden="false" customHeight="false" outlineLevel="0" collapsed="false">
      <c r="A48" s="4" t="s">
        <v>613</v>
      </c>
      <c r="B48" s="4" t="s">
        <v>614</v>
      </c>
      <c r="C48" s="4" t="s">
        <v>615</v>
      </c>
      <c r="D48" s="4" t="s">
        <v>262</v>
      </c>
      <c r="E48" s="4" t="s">
        <v>616</v>
      </c>
      <c r="F48" s="4" t="s">
        <v>617</v>
      </c>
      <c r="G48" s="4" t="s">
        <v>545</v>
      </c>
      <c r="H48" s="4" t="s">
        <v>336</v>
      </c>
      <c r="I48" s="4" t="s">
        <v>368</v>
      </c>
      <c r="J48" s="4" t="s">
        <v>618</v>
      </c>
      <c r="K48" s="4" t="s">
        <v>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70"/>
    <col collapsed="false" customWidth="true" hidden="false" outlineLevel="0" max="4" min="4" style="0" width="10"/>
    <col collapsed="false" customWidth="true" hidden="false" outlineLevel="0" max="5" min="5" style="0" width="11"/>
    <col collapsed="false" customWidth="true" hidden="false" outlineLevel="0" max="7" min="6" style="0" width="12"/>
  </cols>
  <sheetData>
    <row r="1" customFormat="false" ht="17.35" hidden="false" customHeight="false" outlineLevel="0" collapsed="false">
      <c r="A1" s="1" t="s">
        <v>619</v>
      </c>
    </row>
    <row r="2" customFormat="false" ht="15" hidden="false" customHeight="false" outlineLevel="0" collapsed="false">
      <c r="A2" s="2" t="s">
        <v>620</v>
      </c>
    </row>
    <row r="3" customFormat="false" ht="15" hidden="false" customHeight="false" outlineLevel="0" collapsed="false">
      <c r="A3" s="3" t="s">
        <v>621</v>
      </c>
      <c r="B3" s="3" t="s">
        <v>622</v>
      </c>
      <c r="C3" s="3" t="s">
        <v>623</v>
      </c>
      <c r="D3" s="3" t="s">
        <v>624</v>
      </c>
      <c r="E3" s="3" t="s">
        <v>625</v>
      </c>
      <c r="F3" s="3" t="s">
        <v>626</v>
      </c>
      <c r="G3" s="3" t="s">
        <v>627</v>
      </c>
    </row>
    <row r="4" customFormat="false" ht="15" hidden="false" customHeight="false" outlineLevel="0" collapsed="false">
      <c r="A4" s="4" t="s">
        <v>628</v>
      </c>
      <c r="B4" s="4" t="s">
        <v>629</v>
      </c>
      <c r="C4" s="4" t="s">
        <v>630</v>
      </c>
      <c r="D4" s="6" t="n">
        <v>1</v>
      </c>
      <c r="E4" s="6" t="n">
        <v>2</v>
      </c>
      <c r="F4" s="6" t="n">
        <v>1</v>
      </c>
      <c r="G4" s="6" t="n">
        <v>1</v>
      </c>
    </row>
    <row r="5" customFormat="false" ht="15" hidden="false" customHeight="false" outlineLevel="0" collapsed="false">
      <c r="A5" s="4" t="s">
        <v>631</v>
      </c>
      <c r="B5" s="4" t="s">
        <v>632</v>
      </c>
      <c r="C5" s="4" t="s">
        <v>633</v>
      </c>
      <c r="D5" s="6" t="n">
        <v>1</v>
      </c>
      <c r="E5" s="6" t="n">
        <v>1</v>
      </c>
      <c r="F5" s="6" t="n">
        <v>1</v>
      </c>
      <c r="G5" s="6" t="n">
        <v>1</v>
      </c>
    </row>
    <row r="6" customFormat="false" ht="15" hidden="false" customHeight="false" outlineLevel="0" collapsed="false">
      <c r="A6" s="4" t="s">
        <v>634</v>
      </c>
      <c r="B6" s="4" t="s">
        <v>635</v>
      </c>
      <c r="C6" s="4" t="s">
        <v>636</v>
      </c>
      <c r="D6" s="6" t="n">
        <v>1</v>
      </c>
      <c r="E6" s="6" t="n">
        <v>1</v>
      </c>
      <c r="F6" s="6" t="n">
        <v>1.5</v>
      </c>
      <c r="G6" s="6" t="n">
        <v>1</v>
      </c>
    </row>
    <row r="7" customFormat="false" ht="15" hidden="false" customHeight="false" outlineLevel="0" collapsed="false">
      <c r="A7" s="4" t="s">
        <v>637</v>
      </c>
      <c r="B7" s="4" t="s">
        <v>638</v>
      </c>
      <c r="C7" s="4" t="s">
        <v>639</v>
      </c>
      <c r="D7" s="6" t="n">
        <v>1</v>
      </c>
      <c r="E7" s="6" t="n">
        <v>1</v>
      </c>
      <c r="F7" s="6" t="n">
        <v>1.5</v>
      </c>
      <c r="G7" s="6" t="n">
        <v>1</v>
      </c>
    </row>
    <row r="8" customFormat="false" ht="15" hidden="false" customHeight="false" outlineLevel="0" collapsed="false">
      <c r="A8" s="4" t="s">
        <v>640</v>
      </c>
      <c r="B8" s="4" t="s">
        <v>641</v>
      </c>
      <c r="C8" s="4" t="s">
        <v>642</v>
      </c>
      <c r="D8" s="6" t="n">
        <v>1</v>
      </c>
      <c r="E8" s="6" t="n">
        <v>2</v>
      </c>
      <c r="F8" s="6" t="n">
        <v>1</v>
      </c>
      <c r="G8" s="6" t="n">
        <v>1</v>
      </c>
    </row>
    <row r="9" customFormat="false" ht="15" hidden="false" customHeight="false" outlineLevel="0" collapsed="false">
      <c r="A9" s="4" t="s">
        <v>643</v>
      </c>
      <c r="B9" s="4" t="s">
        <v>644</v>
      </c>
      <c r="C9" s="4" t="s">
        <v>645</v>
      </c>
      <c r="D9" s="6" t="n">
        <v>1</v>
      </c>
      <c r="E9" s="6" t="n">
        <v>1.5</v>
      </c>
      <c r="F9" s="6" t="n">
        <v>1</v>
      </c>
      <c r="G9" s="6" t="n">
        <v>1</v>
      </c>
    </row>
    <row r="10" customFormat="false" ht="15" hidden="false" customHeight="false" outlineLevel="0" collapsed="false">
      <c r="A10" s="4" t="s">
        <v>646</v>
      </c>
      <c r="B10" s="4" t="s">
        <v>647</v>
      </c>
      <c r="C10" s="4" t="s">
        <v>648</v>
      </c>
      <c r="D10" s="6" t="n">
        <v>1</v>
      </c>
      <c r="E10" s="6" t="n">
        <v>1.5</v>
      </c>
      <c r="F10" s="6" t="n">
        <v>1</v>
      </c>
      <c r="G10" s="6" t="n">
        <v>1</v>
      </c>
    </row>
    <row r="11" customFormat="false" ht="15" hidden="false" customHeight="false" outlineLevel="0" collapsed="false">
      <c r="A11" s="4" t="s">
        <v>649</v>
      </c>
      <c r="B11" s="4" t="s">
        <v>650</v>
      </c>
      <c r="C11" s="4" t="s">
        <v>651</v>
      </c>
      <c r="D11" s="6" t="n">
        <v>1</v>
      </c>
      <c r="E11" s="6" t="n">
        <v>1</v>
      </c>
      <c r="F11" s="6" t="n">
        <v>1</v>
      </c>
      <c r="G11" s="6" t="n">
        <v>1</v>
      </c>
    </row>
    <row r="12" customFormat="false" ht="15" hidden="false" customHeight="false" outlineLevel="0" collapsed="false">
      <c r="A12" s="4" t="s">
        <v>652</v>
      </c>
      <c r="B12" s="4" t="s">
        <v>653</v>
      </c>
      <c r="C12" s="4" t="s">
        <v>654</v>
      </c>
      <c r="D12" s="6" t="n">
        <v>1</v>
      </c>
      <c r="E12" s="6" t="n">
        <v>1</v>
      </c>
      <c r="F12" s="6" t="n">
        <v>2</v>
      </c>
      <c r="G12" s="6" t="n">
        <v>1</v>
      </c>
    </row>
    <row r="13" customFormat="false" ht="15" hidden="false" customHeight="false" outlineLevel="0" collapsed="false">
      <c r="A13" s="4" t="s">
        <v>655</v>
      </c>
      <c r="B13" s="4" t="s">
        <v>656</v>
      </c>
      <c r="C13" s="4" t="s">
        <v>657</v>
      </c>
      <c r="D13" s="6" t="n">
        <v>1</v>
      </c>
      <c r="E13" s="6" t="n">
        <v>1</v>
      </c>
      <c r="F13" s="6" t="n">
        <v>1</v>
      </c>
      <c r="G13" s="6" t="n">
        <v>1</v>
      </c>
    </row>
    <row r="14" customFormat="false" ht="15" hidden="false" customHeight="false" outlineLevel="0" collapsed="false">
      <c r="A14" s="4" t="s">
        <v>658</v>
      </c>
      <c r="B14" s="4" t="s">
        <v>659</v>
      </c>
      <c r="C14" s="4" t="s">
        <v>660</v>
      </c>
      <c r="D14" s="6" t="n">
        <v>1</v>
      </c>
      <c r="E14" s="6" t="n">
        <v>1</v>
      </c>
      <c r="F14" s="6" t="n">
        <v>1</v>
      </c>
      <c r="G14" s="6" t="n">
        <v>1.5</v>
      </c>
    </row>
    <row r="15" customFormat="false" ht="15" hidden="false" customHeight="false" outlineLevel="0" collapsed="false">
      <c r="A15" s="4" t="s">
        <v>661</v>
      </c>
      <c r="B15" s="4" t="s">
        <v>662</v>
      </c>
      <c r="C15" s="4" t="s">
        <v>663</v>
      </c>
      <c r="D15" s="6" t="n">
        <v>1</v>
      </c>
      <c r="E15" s="6" t="n">
        <v>1</v>
      </c>
      <c r="F15" s="6" t="n">
        <v>1</v>
      </c>
      <c r="G15" s="6"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14" min="3" style="0" width="5"/>
    <col collapsed="false" customWidth="true" hidden="false" outlineLevel="0" max="15" min="15" style="0" width="8"/>
    <col collapsed="false" customWidth="true" hidden="false" outlineLevel="0" max="19" min="16" style="0" width="9"/>
    <col collapsed="false" customWidth="true" hidden="false" outlineLevel="0" max="20" min="20" style="0" width="7"/>
    <col collapsed="false" customWidth="true" hidden="false" outlineLevel="0" max="21" min="21" style="0" width="18"/>
    <col collapsed="false" customWidth="true" hidden="false" outlineLevel="0" max="22" min="22" style="0" width="6"/>
    <col collapsed="false" customWidth="true" hidden="false" outlineLevel="0" max="23" min="23" style="0" width="26"/>
    <col collapsed="false" customWidth="true" hidden="false" outlineLevel="0" max="24" min="24" style="0" width="10"/>
    <col collapsed="false" customWidth="true" hidden="false" outlineLevel="0" max="25" min="25" style="0" width="12"/>
    <col collapsed="false" customWidth="true" hidden="false" outlineLevel="0" max="26" min="26" style="0" width="22"/>
    <col collapsed="false" customWidth="true" hidden="false" outlineLevel="0" max="27" min="27" style="0" width="70"/>
    <col collapsed="false" customWidth="true" hidden="false" outlineLevel="0" max="28" min="28" style="0" width="10"/>
  </cols>
  <sheetData>
    <row r="1" customFormat="false" ht="17.35" hidden="false" customHeight="false" outlineLevel="0" collapsed="false">
      <c r="A1" s="1" t="s">
        <v>664</v>
      </c>
    </row>
    <row r="2" customFormat="false" ht="15" hidden="false" customHeight="false" outlineLevel="0" collapsed="false">
      <c r="A2" s="2" t="s">
        <v>665</v>
      </c>
    </row>
    <row r="3" customFormat="false" ht="46.25" hidden="false" customHeight="false" outlineLevel="0" collapsed="false">
      <c r="A3" s="3" t="s">
        <v>49</v>
      </c>
      <c r="B3" s="3" t="s">
        <v>666</v>
      </c>
      <c r="C3" s="3" t="s">
        <v>628</v>
      </c>
      <c r="D3" s="3" t="s">
        <v>631</v>
      </c>
      <c r="E3" s="3" t="s">
        <v>634</v>
      </c>
      <c r="F3" s="3" t="s">
        <v>637</v>
      </c>
      <c r="G3" s="3" t="s">
        <v>640</v>
      </c>
      <c r="H3" s="3" t="s">
        <v>643</v>
      </c>
      <c r="I3" s="3" t="s">
        <v>646</v>
      </c>
      <c r="J3" s="3" t="s">
        <v>649</v>
      </c>
      <c r="K3" s="3" t="s">
        <v>652</v>
      </c>
      <c r="L3" s="3" t="s">
        <v>655</v>
      </c>
      <c r="M3" s="3" t="s">
        <v>658</v>
      </c>
      <c r="N3" s="3" t="s">
        <v>661</v>
      </c>
      <c r="O3" s="3" t="s">
        <v>667</v>
      </c>
      <c r="P3" s="3" t="s">
        <v>668</v>
      </c>
      <c r="Q3" s="3" t="s">
        <v>669</v>
      </c>
      <c r="R3" s="3" t="s">
        <v>670</v>
      </c>
      <c r="S3" s="3" t="s">
        <v>671</v>
      </c>
      <c r="T3" s="3" t="s">
        <v>672</v>
      </c>
      <c r="U3" s="3" t="s">
        <v>673</v>
      </c>
      <c r="V3" s="3" t="s">
        <v>674</v>
      </c>
      <c r="W3" s="3" t="s">
        <v>675</v>
      </c>
      <c r="X3" s="3" t="s">
        <v>676</v>
      </c>
      <c r="Y3" s="3" t="s">
        <v>677</v>
      </c>
      <c r="Z3" s="3" t="s">
        <v>678</v>
      </c>
      <c r="AA3" s="3" t="s">
        <v>679</v>
      </c>
      <c r="AB3" s="7" t="s">
        <v>680</v>
      </c>
    </row>
    <row r="4" customFormat="false" ht="35.05" hidden="false" customHeight="false" outlineLevel="0" collapsed="false">
      <c r="A4" s="4" t="s">
        <v>237</v>
      </c>
      <c r="B4" s="4" t="s">
        <v>238</v>
      </c>
      <c r="C4" s="8" t="n">
        <v>5</v>
      </c>
      <c r="D4" s="8" t="n">
        <v>5</v>
      </c>
      <c r="E4" s="8" t="n">
        <v>5</v>
      </c>
      <c r="F4" s="8" t="n">
        <v>4</v>
      </c>
      <c r="G4" s="8" t="n">
        <v>4</v>
      </c>
      <c r="H4" s="8" t="n">
        <v>4</v>
      </c>
      <c r="I4" s="8" t="n">
        <v>3</v>
      </c>
      <c r="J4" s="8" t="n">
        <v>4</v>
      </c>
      <c r="K4" s="8" t="n">
        <v>5</v>
      </c>
      <c r="L4" s="8" t="n">
        <v>4</v>
      </c>
      <c r="M4" s="8" t="n">
        <v>4</v>
      </c>
      <c r="N4" s="8" t="n">
        <v>5</v>
      </c>
      <c r="O4" s="9" t="n">
        <f aca="false">SUM(C4:N4)</f>
        <v>52</v>
      </c>
      <c r="P4" s="10" t="n">
        <f aca="false">C4*C_Weights!$D$4+D4*C_Weights!$D$5+E4*C_Weights!$D$6+F4*C_Weights!$D$7+G4*C_Weights!$D$8+H4*C_Weights!$D$9+I4*C_Weights!$D$10+J4*C_Weights!$D$11+K4*C_Weights!$D$12+L4*C_Weights!$D$13+M4*C_Weights!$D$14+N4*C_Weights!$D$15</f>
        <v>52</v>
      </c>
      <c r="Q4" s="10" t="n">
        <f aca="false">C4*C_Weights!$E$4+D4*C_Weights!$E$5+E4*C_Weights!$E$6+F4*C_Weights!$E$7+G4*C_Weights!$E$8+H4*C_Weights!$E$9+I4*C_Weights!$E$10+J4*C_Weights!$E$11+K4*C_Weights!$E$12+L4*C_Weights!$E$13+M4*C_Weights!$E$14+N4*C_Weights!$E$15</f>
        <v>64.5</v>
      </c>
      <c r="R4" s="10" t="n">
        <f aca="false">C4*C_Weights!$F$4+D4*C_Weights!$F$5+E4*C_Weights!$F$6+F4*C_Weights!$F$7+G4*C_Weights!$F$8+H4*C_Weights!$F$9+I4*C_Weights!$F$10+J4*C_Weights!$F$11+K4*C_Weights!$F$12+L4*C_Weights!$F$13+M4*C_Weights!$F$14+N4*C_Weights!$F$15</f>
        <v>61.5</v>
      </c>
      <c r="S4" s="10" t="n">
        <f aca="false">C4*C_Weights!$G$4+D4*C_Weights!$G$5+E4*C_Weights!$G$6+F4*C_Weights!$G$7+G4*C_Weights!$G$8+H4*C_Weights!$G$9+I4*C_Weights!$G$10+J4*C_Weights!$G$11+K4*C_Weights!$G$12+L4*C_Weights!$G$13+M4*C_Weights!$G$14+N4*C_Weights!$G$15</f>
        <v>59</v>
      </c>
      <c r="T4" s="9" t="n">
        <f aca="false">RANK(O4,$O$4:$O$48)</f>
        <v>5</v>
      </c>
      <c r="U4" s="4" t="s">
        <v>681</v>
      </c>
      <c r="V4" s="9" t="n">
        <f aca="false">IF(U4="-",0,LEN(U4)-LEN(SUBSTITUTE(U4,",",""))+1)</f>
        <v>3</v>
      </c>
      <c r="W4" s="4" t="s">
        <v>682</v>
      </c>
      <c r="X4" s="11" t="s">
        <v>683</v>
      </c>
      <c r="Y4" s="11" t="s">
        <v>684</v>
      </c>
      <c r="Z4" s="11" t="s">
        <v>685</v>
      </c>
      <c r="AA4" s="4" t="s">
        <v>686</v>
      </c>
      <c r="AB4" s="4" t="str">
        <f aca="false">IF(AND(LEFT(Z4,1)="P",LEN(Z4)=3),Z4,A4)</f>
        <v>P01</v>
      </c>
    </row>
    <row r="5" customFormat="false" ht="35.05" hidden="false" customHeight="false" outlineLevel="0" collapsed="false">
      <c r="A5" s="4" t="s">
        <v>248</v>
      </c>
      <c r="B5" s="4" t="s">
        <v>249</v>
      </c>
      <c r="C5" s="8" t="n">
        <v>5</v>
      </c>
      <c r="D5" s="8" t="n">
        <v>5</v>
      </c>
      <c r="E5" s="8" t="n">
        <v>5</v>
      </c>
      <c r="F5" s="8" t="n">
        <v>4</v>
      </c>
      <c r="G5" s="8" t="n">
        <v>5</v>
      </c>
      <c r="H5" s="8" t="n">
        <v>5</v>
      </c>
      <c r="I5" s="8" t="n">
        <v>5</v>
      </c>
      <c r="J5" s="8" t="n">
        <v>4</v>
      </c>
      <c r="K5" s="8" t="n">
        <v>4</v>
      </c>
      <c r="L5" s="8" t="n">
        <v>5</v>
      </c>
      <c r="M5" s="8" t="n">
        <v>4</v>
      </c>
      <c r="N5" s="8" t="n">
        <v>5</v>
      </c>
      <c r="O5" s="9" t="n">
        <f aca="false">SUM(C5:N5)</f>
        <v>56</v>
      </c>
      <c r="P5" s="10" t="n">
        <f aca="false">C5*C_Weights!$D$4+D5*C_Weights!$D$5+E5*C_Weights!$D$6+F5*C_Weights!$D$7+G5*C_Weights!$D$8+H5*C_Weights!$D$9+I5*C_Weights!$D$10+J5*C_Weights!$D$11+K5*C_Weights!$D$12+L5*C_Weights!$D$13+M5*C_Weights!$D$14+N5*C_Weights!$D$15</f>
        <v>56</v>
      </c>
      <c r="Q5" s="10" t="n">
        <f aca="false">C5*C_Weights!$E$4+D5*C_Weights!$E$5+E5*C_Weights!$E$6+F5*C_Weights!$E$7+G5*C_Weights!$E$8+H5*C_Weights!$E$9+I5*C_Weights!$E$10+J5*C_Weights!$E$11+K5*C_Weights!$E$12+L5*C_Weights!$E$13+M5*C_Weights!$E$14+N5*C_Weights!$E$15</f>
        <v>71</v>
      </c>
      <c r="R5" s="10" t="n">
        <f aca="false">C5*C_Weights!$F$4+D5*C_Weights!$F$5+E5*C_Weights!$F$6+F5*C_Weights!$F$7+G5*C_Weights!$F$8+H5*C_Weights!$F$9+I5*C_Weights!$F$10+J5*C_Weights!$F$11+K5*C_Weights!$F$12+L5*C_Weights!$F$13+M5*C_Weights!$F$14+N5*C_Weights!$F$15</f>
        <v>64.5</v>
      </c>
      <c r="S5" s="10" t="n">
        <f aca="false">C5*C_Weights!$G$4+D5*C_Weights!$G$5+E5*C_Weights!$G$6+F5*C_Weights!$G$7+G5*C_Weights!$G$8+H5*C_Weights!$G$9+I5*C_Weights!$G$10+J5*C_Weights!$G$11+K5*C_Weights!$G$12+L5*C_Weights!$G$13+M5*C_Weights!$G$14+N5*C_Weights!$G$15</f>
        <v>63</v>
      </c>
      <c r="T5" s="9" t="n">
        <f aca="false">RANK(O5,$O$4:$O$48)</f>
        <v>1</v>
      </c>
      <c r="U5" s="4" t="s">
        <v>687</v>
      </c>
      <c r="V5" s="9" t="n">
        <f aca="false">IF(U5="-",0,LEN(U5)-LEN(SUBSTITUTE(U5,",",""))+1)</f>
        <v>8</v>
      </c>
      <c r="W5" s="4" t="s">
        <v>682</v>
      </c>
      <c r="X5" s="11" t="s">
        <v>683</v>
      </c>
      <c r="Y5" s="11" t="s">
        <v>684</v>
      </c>
      <c r="Z5" s="11" t="s">
        <v>688</v>
      </c>
      <c r="AA5" s="4" t="s">
        <v>689</v>
      </c>
      <c r="AB5" s="4" t="str">
        <f aca="false">IF(AND(LEFT(Z5,1)="P",LEN(Z5)=3),Z5,A5)</f>
        <v>P02</v>
      </c>
    </row>
    <row r="6" customFormat="false" ht="23.85" hidden="false" customHeight="false" outlineLevel="0" collapsed="false">
      <c r="A6" s="4" t="s">
        <v>259</v>
      </c>
      <c r="B6" s="4" t="s">
        <v>260</v>
      </c>
      <c r="C6" s="8" t="n">
        <v>5</v>
      </c>
      <c r="D6" s="8" t="n">
        <v>5</v>
      </c>
      <c r="E6" s="8" t="n">
        <v>4</v>
      </c>
      <c r="F6" s="8" t="n">
        <v>4</v>
      </c>
      <c r="G6" s="8" t="n">
        <v>5</v>
      </c>
      <c r="H6" s="8" t="n">
        <v>3</v>
      </c>
      <c r="I6" s="8" t="n">
        <v>5</v>
      </c>
      <c r="J6" s="8" t="n">
        <v>5</v>
      </c>
      <c r="K6" s="8" t="n">
        <v>4</v>
      </c>
      <c r="L6" s="8" t="n">
        <v>4</v>
      </c>
      <c r="M6" s="8" t="n">
        <v>5</v>
      </c>
      <c r="N6" s="8" t="n">
        <v>5</v>
      </c>
      <c r="O6" s="9" t="n">
        <f aca="false">SUM(C6:N6)</f>
        <v>54</v>
      </c>
      <c r="P6" s="10" t="n">
        <f aca="false">C6*C_Weights!$D$4+D6*C_Weights!$D$5+E6*C_Weights!$D$6+F6*C_Weights!$D$7+G6*C_Weights!$D$8+H6*C_Weights!$D$9+I6*C_Weights!$D$10+J6*C_Weights!$D$11+K6*C_Weights!$D$12+L6*C_Weights!$D$13+M6*C_Weights!$D$14+N6*C_Weights!$D$15</f>
        <v>54</v>
      </c>
      <c r="Q6" s="10" t="n">
        <f aca="false">C6*C_Weights!$E$4+D6*C_Weights!$E$5+E6*C_Weights!$E$6+F6*C_Weights!$E$7+G6*C_Weights!$E$8+H6*C_Weights!$E$9+I6*C_Weights!$E$10+J6*C_Weights!$E$11+K6*C_Weights!$E$12+L6*C_Weights!$E$13+M6*C_Weights!$E$14+N6*C_Weights!$E$15</f>
        <v>68</v>
      </c>
      <c r="R6" s="10" t="n">
        <f aca="false">C6*C_Weights!$F$4+D6*C_Weights!$F$5+E6*C_Weights!$F$6+F6*C_Weights!$F$7+G6*C_Weights!$F$8+H6*C_Weights!$F$9+I6*C_Weights!$F$10+J6*C_Weights!$F$11+K6*C_Weights!$F$12+L6*C_Weights!$F$13+M6*C_Weights!$F$14+N6*C_Weights!$F$15</f>
        <v>62</v>
      </c>
      <c r="S6" s="10" t="n">
        <f aca="false">C6*C_Weights!$G$4+D6*C_Weights!$G$5+E6*C_Weights!$G$6+F6*C_Weights!$G$7+G6*C_Weights!$G$8+H6*C_Weights!$G$9+I6*C_Weights!$G$10+J6*C_Weights!$G$11+K6*C_Weights!$G$12+L6*C_Weights!$G$13+M6*C_Weights!$G$14+N6*C_Weights!$G$15</f>
        <v>61.5</v>
      </c>
      <c r="T6" s="9" t="n">
        <f aca="false">RANK(O6,$O$4:$O$48)</f>
        <v>2</v>
      </c>
      <c r="U6" s="4" t="s">
        <v>690</v>
      </c>
      <c r="V6" s="9" t="n">
        <f aca="false">IF(U6="-",0,LEN(U6)-LEN(SUBSTITUTE(U6,",",""))+1)</f>
        <v>3</v>
      </c>
      <c r="W6" s="4" t="s">
        <v>691</v>
      </c>
      <c r="X6" s="11" t="s">
        <v>692</v>
      </c>
      <c r="Y6" s="11" t="s">
        <v>693</v>
      </c>
      <c r="Z6" s="11" t="s">
        <v>688</v>
      </c>
      <c r="AA6" s="4" t="s">
        <v>694</v>
      </c>
      <c r="AB6" s="4" t="str">
        <f aca="false">IF(AND(LEFT(Z6,1)="P",LEN(Z6)=3),Z6,A6)</f>
        <v>P02</v>
      </c>
    </row>
    <row r="7" customFormat="false" ht="23.85" hidden="false" customHeight="false" outlineLevel="0" collapsed="false">
      <c r="A7" s="4" t="s">
        <v>270</v>
      </c>
      <c r="B7" s="4" t="s">
        <v>271</v>
      </c>
      <c r="C7" s="8" t="n">
        <v>4</v>
      </c>
      <c r="D7" s="8" t="n">
        <v>5</v>
      </c>
      <c r="E7" s="8" t="n">
        <v>4</v>
      </c>
      <c r="F7" s="8" t="n">
        <v>4</v>
      </c>
      <c r="G7" s="8" t="n">
        <v>4</v>
      </c>
      <c r="H7" s="8" t="n">
        <v>5</v>
      </c>
      <c r="I7" s="8" t="n">
        <v>2</v>
      </c>
      <c r="J7" s="8" t="n">
        <v>3</v>
      </c>
      <c r="K7" s="8" t="n">
        <v>4</v>
      </c>
      <c r="L7" s="8" t="n">
        <v>4</v>
      </c>
      <c r="M7" s="8" t="n">
        <v>4</v>
      </c>
      <c r="N7" s="8" t="n">
        <v>4</v>
      </c>
      <c r="O7" s="9" t="n">
        <f aca="false">SUM(C7:N7)</f>
        <v>47</v>
      </c>
      <c r="P7" s="10" t="n">
        <f aca="false">C7*C_Weights!$D$4+D7*C_Weights!$D$5+E7*C_Weights!$D$6+F7*C_Weights!$D$7+G7*C_Weights!$D$8+H7*C_Weights!$D$9+I7*C_Weights!$D$10+J7*C_Weights!$D$11+K7*C_Weights!$D$12+L7*C_Weights!$D$13+M7*C_Weights!$D$14+N7*C_Weights!$D$15</f>
        <v>47</v>
      </c>
      <c r="Q7" s="10" t="n">
        <f aca="false">C7*C_Weights!$E$4+D7*C_Weights!$E$5+E7*C_Weights!$E$6+F7*C_Weights!$E$7+G7*C_Weights!$E$8+H7*C_Weights!$E$9+I7*C_Weights!$E$10+J7*C_Weights!$E$11+K7*C_Weights!$E$12+L7*C_Weights!$E$13+M7*C_Weights!$E$14+N7*C_Weights!$E$15</f>
        <v>58.5</v>
      </c>
      <c r="R7" s="10" t="n">
        <f aca="false">C7*C_Weights!$F$4+D7*C_Weights!$F$5+E7*C_Weights!$F$6+F7*C_Weights!$F$7+G7*C_Weights!$F$8+H7*C_Weights!$F$9+I7*C_Weights!$F$10+J7*C_Weights!$F$11+K7*C_Weights!$F$12+L7*C_Weights!$F$13+M7*C_Weights!$F$14+N7*C_Weights!$F$15</f>
        <v>55</v>
      </c>
      <c r="S7" s="10" t="n">
        <f aca="false">C7*C_Weights!$G$4+D7*C_Weights!$G$5+E7*C_Weights!$G$6+F7*C_Weights!$G$7+G7*C_Weights!$G$8+H7*C_Weights!$G$9+I7*C_Weights!$G$10+J7*C_Weights!$G$11+K7*C_Weights!$G$12+L7*C_Weights!$G$13+M7*C_Weights!$G$14+N7*C_Weights!$G$15</f>
        <v>53</v>
      </c>
      <c r="T7" s="9" t="n">
        <f aca="false">RANK(O7,$O$4:$O$48)</f>
        <v>15</v>
      </c>
      <c r="U7" s="4" t="s">
        <v>695</v>
      </c>
      <c r="V7" s="9" t="n">
        <f aca="false">IF(U7="-",0,LEN(U7)-LEN(SUBSTITUTE(U7,",",""))+1)</f>
        <v>2</v>
      </c>
      <c r="W7" s="4" t="s">
        <v>691</v>
      </c>
      <c r="X7" s="11" t="s">
        <v>692</v>
      </c>
      <c r="Y7" s="11" t="s">
        <v>684</v>
      </c>
      <c r="Z7" s="11" t="s">
        <v>696</v>
      </c>
      <c r="AA7" s="4" t="s">
        <v>697</v>
      </c>
      <c r="AB7" s="4" t="str">
        <f aca="false">IF(AND(LEFT(Z7,1)="P",LEN(Z7)=3),Z7,A7)</f>
        <v>P07</v>
      </c>
    </row>
    <row r="8" customFormat="false" ht="23.85" hidden="false" customHeight="false" outlineLevel="0" collapsed="false">
      <c r="A8" s="4" t="s">
        <v>281</v>
      </c>
      <c r="B8" s="4" t="s">
        <v>282</v>
      </c>
      <c r="C8" s="8" t="n">
        <v>3</v>
      </c>
      <c r="D8" s="8" t="n">
        <v>4</v>
      </c>
      <c r="E8" s="8" t="n">
        <v>3</v>
      </c>
      <c r="F8" s="8" t="n">
        <v>3</v>
      </c>
      <c r="G8" s="8" t="n">
        <v>4</v>
      </c>
      <c r="H8" s="8" t="n">
        <v>4</v>
      </c>
      <c r="I8" s="8" t="n">
        <v>2</v>
      </c>
      <c r="J8" s="8" t="n">
        <v>2</v>
      </c>
      <c r="K8" s="8" t="n">
        <v>2</v>
      </c>
      <c r="L8" s="8" t="n">
        <v>4</v>
      </c>
      <c r="M8" s="8" t="n">
        <v>4</v>
      </c>
      <c r="N8" s="8" t="n">
        <v>3</v>
      </c>
      <c r="O8" s="9" t="n">
        <f aca="false">SUM(C8:N8)</f>
        <v>38</v>
      </c>
      <c r="P8" s="10" t="n">
        <f aca="false">C8*C_Weights!$D$4+D8*C_Weights!$D$5+E8*C_Weights!$D$6+F8*C_Weights!$D$7+G8*C_Weights!$D$8+H8*C_Weights!$D$9+I8*C_Weights!$D$10+J8*C_Weights!$D$11+K8*C_Weights!$D$12+L8*C_Weights!$D$13+M8*C_Weights!$D$14+N8*C_Weights!$D$15</f>
        <v>38</v>
      </c>
      <c r="Q8" s="10" t="n">
        <f aca="false">C8*C_Weights!$E$4+D8*C_Weights!$E$5+E8*C_Weights!$E$6+F8*C_Weights!$E$7+G8*C_Weights!$E$8+H8*C_Weights!$E$9+I8*C_Weights!$E$10+J8*C_Weights!$E$11+K8*C_Weights!$E$12+L8*C_Weights!$E$13+M8*C_Weights!$E$14+N8*C_Weights!$E$15</f>
        <v>48</v>
      </c>
      <c r="R8" s="10" t="n">
        <f aca="false">C8*C_Weights!$F$4+D8*C_Weights!$F$5+E8*C_Weights!$F$6+F8*C_Weights!$F$7+G8*C_Weights!$F$8+H8*C_Weights!$F$9+I8*C_Weights!$F$10+J8*C_Weights!$F$11+K8*C_Weights!$F$12+L8*C_Weights!$F$13+M8*C_Weights!$F$14+N8*C_Weights!$F$15</f>
        <v>43</v>
      </c>
      <c r="S8" s="10" t="n">
        <f aca="false">C8*C_Weights!$G$4+D8*C_Weights!$G$5+E8*C_Weights!$G$6+F8*C_Weights!$G$7+G8*C_Weights!$G$8+H8*C_Weights!$G$9+I8*C_Weights!$G$10+J8*C_Weights!$G$11+K8*C_Weights!$G$12+L8*C_Weights!$G$13+M8*C_Weights!$G$14+N8*C_Weights!$G$15</f>
        <v>43</v>
      </c>
      <c r="T8" s="9" t="n">
        <f aca="false">RANK(O8,$O$4:$O$48)</f>
        <v>27</v>
      </c>
      <c r="U8" s="4" t="s">
        <v>698</v>
      </c>
      <c r="V8" s="9" t="n">
        <f aca="false">IF(U8="-",0,LEN(U8)-LEN(SUBSTITUTE(U8,",",""))+1)</f>
        <v>1</v>
      </c>
      <c r="W8" s="4" t="s">
        <v>699</v>
      </c>
      <c r="X8" s="11" t="s">
        <v>700</v>
      </c>
      <c r="Y8" s="11" t="s">
        <v>693</v>
      </c>
      <c r="Z8" s="11" t="s">
        <v>696</v>
      </c>
      <c r="AA8" s="4" t="s">
        <v>701</v>
      </c>
      <c r="AB8" s="4" t="str">
        <f aca="false">IF(AND(LEFT(Z8,1)="P",LEN(Z8)=3),Z8,A8)</f>
        <v>P07</v>
      </c>
    </row>
    <row r="9" customFormat="false" ht="23.85" hidden="false" customHeight="false" outlineLevel="0" collapsed="false">
      <c r="A9" s="4" t="s">
        <v>291</v>
      </c>
      <c r="B9" s="4" t="s">
        <v>292</v>
      </c>
      <c r="C9" s="8" t="n">
        <v>3</v>
      </c>
      <c r="D9" s="8" t="n">
        <v>3</v>
      </c>
      <c r="E9" s="8" t="n">
        <v>3</v>
      </c>
      <c r="F9" s="8" t="n">
        <v>3</v>
      </c>
      <c r="G9" s="8" t="n">
        <v>3</v>
      </c>
      <c r="H9" s="8" t="n">
        <v>3</v>
      </c>
      <c r="I9" s="8" t="n">
        <v>3</v>
      </c>
      <c r="J9" s="8" t="n">
        <v>2</v>
      </c>
      <c r="K9" s="8" t="n">
        <v>2</v>
      </c>
      <c r="L9" s="8" t="n">
        <v>3</v>
      </c>
      <c r="M9" s="8" t="n">
        <v>4</v>
      </c>
      <c r="N9" s="8" t="n">
        <v>3</v>
      </c>
      <c r="O9" s="9" t="n">
        <f aca="false">SUM(C9:N9)</f>
        <v>35</v>
      </c>
      <c r="P9" s="10" t="n">
        <f aca="false">C9*C_Weights!$D$4+D9*C_Weights!$D$5+E9*C_Weights!$D$6+F9*C_Weights!$D$7+G9*C_Weights!$D$8+H9*C_Weights!$D$9+I9*C_Weights!$D$10+J9*C_Weights!$D$11+K9*C_Weights!$D$12+L9*C_Weights!$D$13+M9*C_Weights!$D$14+N9*C_Weights!$D$15</f>
        <v>35</v>
      </c>
      <c r="Q9" s="10" t="n">
        <f aca="false">C9*C_Weights!$E$4+D9*C_Weights!$E$5+E9*C_Weights!$E$6+F9*C_Weights!$E$7+G9*C_Weights!$E$8+H9*C_Weights!$E$9+I9*C_Weights!$E$10+J9*C_Weights!$E$11+K9*C_Weights!$E$12+L9*C_Weights!$E$13+M9*C_Weights!$E$14+N9*C_Weights!$E$15</f>
        <v>44</v>
      </c>
      <c r="R9" s="10" t="n">
        <f aca="false">C9*C_Weights!$F$4+D9*C_Weights!$F$5+E9*C_Weights!$F$6+F9*C_Weights!$F$7+G9*C_Weights!$F$8+H9*C_Weights!$F$9+I9*C_Weights!$F$10+J9*C_Weights!$F$11+K9*C_Weights!$F$12+L9*C_Weights!$F$13+M9*C_Weights!$F$14+N9*C_Weights!$F$15</f>
        <v>40</v>
      </c>
      <c r="S9" s="10" t="n">
        <f aca="false">C9*C_Weights!$G$4+D9*C_Weights!$G$5+E9*C_Weights!$G$6+F9*C_Weights!$G$7+G9*C_Weights!$G$8+H9*C_Weights!$G$9+I9*C_Weights!$G$10+J9*C_Weights!$G$11+K9*C_Weights!$G$12+L9*C_Weights!$G$13+M9*C_Weights!$G$14+N9*C_Weights!$G$15</f>
        <v>40</v>
      </c>
      <c r="T9" s="9" t="n">
        <f aca="false">RANK(O9,$O$4:$O$48)</f>
        <v>31</v>
      </c>
      <c r="U9" s="4" t="s">
        <v>379</v>
      </c>
      <c r="V9" s="9" t="n">
        <f aca="false">IF(U9="-",0,LEN(U9)-LEN(SUBSTITUTE(U9,",",""))+1)</f>
        <v>0</v>
      </c>
      <c r="W9" s="4" t="s">
        <v>699</v>
      </c>
      <c r="X9" s="11" t="s">
        <v>700</v>
      </c>
      <c r="Y9" s="11" t="s">
        <v>693</v>
      </c>
      <c r="Z9" s="11" t="s">
        <v>702</v>
      </c>
      <c r="AA9" s="4" t="s">
        <v>703</v>
      </c>
      <c r="AB9" s="4" t="str">
        <f aca="false">IF(AND(LEFT(Z9,1)="P",LEN(Z9)=3),Z9,A9)</f>
        <v>P04</v>
      </c>
    </row>
    <row r="10" customFormat="false" ht="23.85" hidden="false" customHeight="false" outlineLevel="0" collapsed="false">
      <c r="A10" s="4" t="s">
        <v>300</v>
      </c>
      <c r="B10" s="4" t="s">
        <v>301</v>
      </c>
      <c r="C10" s="8" t="n">
        <v>5</v>
      </c>
      <c r="D10" s="8" t="n">
        <v>5</v>
      </c>
      <c r="E10" s="8" t="n">
        <v>5</v>
      </c>
      <c r="F10" s="8" t="n">
        <v>4</v>
      </c>
      <c r="G10" s="8" t="n">
        <v>5</v>
      </c>
      <c r="H10" s="8" t="n">
        <v>4</v>
      </c>
      <c r="I10" s="8" t="n">
        <v>4</v>
      </c>
      <c r="J10" s="8" t="n">
        <v>4</v>
      </c>
      <c r="K10" s="8" t="n">
        <v>3</v>
      </c>
      <c r="L10" s="8" t="n">
        <v>5</v>
      </c>
      <c r="M10" s="8" t="n">
        <v>4</v>
      </c>
      <c r="N10" s="8" t="n">
        <v>5</v>
      </c>
      <c r="O10" s="9" t="n">
        <f aca="false">SUM(C10:N10)</f>
        <v>53</v>
      </c>
      <c r="P10" s="10" t="n">
        <f aca="false">C10*C_Weights!$D$4+D10*C_Weights!$D$5+E10*C_Weights!$D$6+F10*C_Weights!$D$7+G10*C_Weights!$D$8+H10*C_Weights!$D$9+I10*C_Weights!$D$10+J10*C_Weights!$D$11+K10*C_Weights!$D$12+L10*C_Weights!$D$13+M10*C_Weights!$D$14+N10*C_Weights!$D$15</f>
        <v>53</v>
      </c>
      <c r="Q10" s="10" t="n">
        <f aca="false">C10*C_Weights!$E$4+D10*C_Weights!$E$5+E10*C_Weights!$E$6+F10*C_Weights!$E$7+G10*C_Weights!$E$8+H10*C_Weights!$E$9+I10*C_Weights!$E$10+J10*C_Weights!$E$11+K10*C_Weights!$E$12+L10*C_Weights!$E$13+M10*C_Weights!$E$14+N10*C_Weights!$E$15</f>
        <v>67</v>
      </c>
      <c r="R10" s="10" t="n">
        <f aca="false">C10*C_Weights!$F$4+D10*C_Weights!$F$5+E10*C_Weights!$F$6+F10*C_Weights!$F$7+G10*C_Weights!$F$8+H10*C_Weights!$F$9+I10*C_Weights!$F$10+J10*C_Weights!$F$11+K10*C_Weights!$F$12+L10*C_Weights!$F$13+M10*C_Weights!$F$14+N10*C_Weights!$F$15</f>
        <v>60.5</v>
      </c>
      <c r="S10" s="10" t="n">
        <f aca="false">C10*C_Weights!$G$4+D10*C_Weights!$G$5+E10*C_Weights!$G$6+F10*C_Weights!$G$7+G10*C_Weights!$G$8+H10*C_Weights!$G$9+I10*C_Weights!$G$10+J10*C_Weights!$G$11+K10*C_Weights!$G$12+L10*C_Weights!$G$13+M10*C_Weights!$G$14+N10*C_Weights!$G$15</f>
        <v>60</v>
      </c>
      <c r="T10" s="9" t="n">
        <f aca="false">RANK(O10,$O$4:$O$48)</f>
        <v>3</v>
      </c>
      <c r="U10" s="4" t="s">
        <v>704</v>
      </c>
      <c r="V10" s="9" t="n">
        <f aca="false">IF(U10="-",0,LEN(U10)-LEN(SUBSTITUTE(U10,",",""))+1)</f>
        <v>2</v>
      </c>
      <c r="W10" s="4" t="s">
        <v>705</v>
      </c>
      <c r="X10" s="11" t="s">
        <v>692</v>
      </c>
      <c r="Y10" s="11" t="s">
        <v>684</v>
      </c>
      <c r="Z10" s="11" t="s">
        <v>706</v>
      </c>
      <c r="AA10" s="4" t="s">
        <v>707</v>
      </c>
      <c r="AB10" s="4" t="str">
        <f aca="false">IF(AND(LEFT(Z10,1)="P",LEN(Z10)=3),Z10,A10)</f>
        <v>P03</v>
      </c>
    </row>
    <row r="11" customFormat="false" ht="35.05" hidden="false" customHeight="false" outlineLevel="0" collapsed="false">
      <c r="A11" s="4" t="s">
        <v>310</v>
      </c>
      <c r="B11" s="4" t="s">
        <v>311</v>
      </c>
      <c r="C11" s="8" t="n">
        <v>5</v>
      </c>
      <c r="D11" s="8" t="n">
        <v>5</v>
      </c>
      <c r="E11" s="8" t="n">
        <v>5</v>
      </c>
      <c r="F11" s="8" t="n">
        <v>4</v>
      </c>
      <c r="G11" s="8" t="n">
        <v>4</v>
      </c>
      <c r="H11" s="8" t="n">
        <v>4</v>
      </c>
      <c r="I11" s="8" t="n">
        <v>4</v>
      </c>
      <c r="J11" s="8" t="n">
        <v>3</v>
      </c>
      <c r="K11" s="8" t="n">
        <v>5</v>
      </c>
      <c r="L11" s="8" t="n">
        <v>3</v>
      </c>
      <c r="M11" s="8" t="n">
        <v>5</v>
      </c>
      <c r="N11" s="8" t="n">
        <v>5</v>
      </c>
      <c r="O11" s="9" t="n">
        <f aca="false">SUM(C11:N11)</f>
        <v>52</v>
      </c>
      <c r="P11" s="10" t="n">
        <f aca="false">C11*C_Weights!$D$4+D11*C_Weights!$D$5+E11*C_Weights!$D$6+F11*C_Weights!$D$7+G11*C_Weights!$D$8+H11*C_Weights!$D$9+I11*C_Weights!$D$10+J11*C_Weights!$D$11+K11*C_Weights!$D$12+L11*C_Weights!$D$13+M11*C_Weights!$D$14+N11*C_Weights!$D$15</f>
        <v>52</v>
      </c>
      <c r="Q11" s="10" t="n">
        <f aca="false">C11*C_Weights!$E$4+D11*C_Weights!$E$5+E11*C_Weights!$E$6+F11*C_Weights!$E$7+G11*C_Weights!$E$8+H11*C_Weights!$E$9+I11*C_Weights!$E$10+J11*C_Weights!$E$11+K11*C_Weights!$E$12+L11*C_Weights!$E$13+M11*C_Weights!$E$14+N11*C_Weights!$E$15</f>
        <v>65</v>
      </c>
      <c r="R11" s="10" t="n">
        <f aca="false">C11*C_Weights!$F$4+D11*C_Weights!$F$5+E11*C_Weights!$F$6+F11*C_Weights!$F$7+G11*C_Weights!$F$8+H11*C_Weights!$F$9+I11*C_Weights!$F$10+J11*C_Weights!$F$11+K11*C_Weights!$F$12+L11*C_Weights!$F$13+M11*C_Weights!$F$14+N11*C_Weights!$F$15</f>
        <v>61.5</v>
      </c>
      <c r="S11" s="10" t="n">
        <f aca="false">C11*C_Weights!$G$4+D11*C_Weights!$G$5+E11*C_Weights!$G$6+F11*C_Weights!$G$7+G11*C_Weights!$G$8+H11*C_Weights!$G$9+I11*C_Weights!$G$10+J11*C_Weights!$G$11+K11*C_Weights!$G$12+L11*C_Weights!$G$13+M11*C_Weights!$G$14+N11*C_Weights!$G$15</f>
        <v>59.5</v>
      </c>
      <c r="T11" s="9" t="n">
        <f aca="false">RANK(O11,$O$4:$O$48)</f>
        <v>5</v>
      </c>
      <c r="U11" s="4" t="s">
        <v>708</v>
      </c>
      <c r="V11" s="9" t="n">
        <f aca="false">IF(U11="-",0,LEN(U11)-LEN(SUBSTITUTE(U11,",",""))+1)</f>
        <v>2</v>
      </c>
      <c r="W11" s="4" t="s">
        <v>709</v>
      </c>
      <c r="X11" s="11" t="s">
        <v>683</v>
      </c>
      <c r="Y11" s="11" t="s">
        <v>693</v>
      </c>
      <c r="Z11" s="11" t="s">
        <v>688</v>
      </c>
      <c r="AA11" s="4" t="s">
        <v>710</v>
      </c>
      <c r="AB11" s="4" t="str">
        <f aca="false">IF(AND(LEFT(Z11,1)="P",LEN(Z11)=3),Z11,A11)</f>
        <v>P02</v>
      </c>
    </row>
    <row r="12" customFormat="false" ht="23.85" hidden="false" customHeight="false" outlineLevel="0" collapsed="false">
      <c r="A12" s="4" t="s">
        <v>319</v>
      </c>
      <c r="B12" s="4" t="s">
        <v>320</v>
      </c>
      <c r="C12" s="8" t="n">
        <v>5</v>
      </c>
      <c r="D12" s="8" t="n">
        <v>5</v>
      </c>
      <c r="E12" s="8" t="n">
        <v>3</v>
      </c>
      <c r="F12" s="8" t="n">
        <v>4</v>
      </c>
      <c r="G12" s="8" t="n">
        <v>5</v>
      </c>
      <c r="H12" s="8" t="n">
        <v>4</v>
      </c>
      <c r="I12" s="8" t="n">
        <v>4</v>
      </c>
      <c r="J12" s="8" t="n">
        <v>4</v>
      </c>
      <c r="K12" s="8" t="n">
        <v>3</v>
      </c>
      <c r="L12" s="8" t="n">
        <v>4</v>
      </c>
      <c r="M12" s="8" t="n">
        <v>5</v>
      </c>
      <c r="N12" s="8" t="n">
        <v>5</v>
      </c>
      <c r="O12" s="9" t="n">
        <f aca="false">SUM(C12:N12)</f>
        <v>51</v>
      </c>
      <c r="P12" s="10" t="n">
        <f aca="false">C12*C_Weights!$D$4+D12*C_Weights!$D$5+E12*C_Weights!$D$6+F12*C_Weights!$D$7+G12*C_Weights!$D$8+H12*C_Weights!$D$9+I12*C_Weights!$D$10+J12*C_Weights!$D$11+K12*C_Weights!$D$12+L12*C_Weights!$D$13+M12*C_Weights!$D$14+N12*C_Weights!$D$15</f>
        <v>51</v>
      </c>
      <c r="Q12" s="10" t="n">
        <f aca="false">C12*C_Weights!$E$4+D12*C_Weights!$E$5+E12*C_Weights!$E$6+F12*C_Weights!$E$7+G12*C_Weights!$E$8+H12*C_Weights!$E$9+I12*C_Weights!$E$10+J12*C_Weights!$E$11+K12*C_Weights!$E$12+L12*C_Weights!$E$13+M12*C_Weights!$E$14+N12*C_Weights!$E$15</f>
        <v>65</v>
      </c>
      <c r="R12" s="10" t="n">
        <f aca="false">C12*C_Weights!$F$4+D12*C_Weights!$F$5+E12*C_Weights!$F$6+F12*C_Weights!$F$7+G12*C_Weights!$F$8+H12*C_Weights!$F$9+I12*C_Weights!$F$10+J12*C_Weights!$F$11+K12*C_Weights!$F$12+L12*C_Weights!$F$13+M12*C_Weights!$F$14+N12*C_Weights!$F$15</f>
        <v>57.5</v>
      </c>
      <c r="S12" s="10" t="n">
        <f aca="false">C12*C_Weights!$G$4+D12*C_Weights!$G$5+E12*C_Weights!$G$6+F12*C_Weights!$G$7+G12*C_Weights!$G$8+H12*C_Weights!$G$9+I12*C_Weights!$G$10+J12*C_Weights!$G$11+K12*C_Weights!$G$12+L12*C_Weights!$G$13+M12*C_Weights!$G$14+N12*C_Weights!$G$15</f>
        <v>58.5</v>
      </c>
      <c r="T12" s="9" t="n">
        <f aca="false">RANK(O12,$O$4:$O$48)</f>
        <v>9</v>
      </c>
      <c r="U12" s="4" t="s">
        <v>711</v>
      </c>
      <c r="V12" s="9" t="n">
        <f aca="false">IF(U12="-",0,LEN(U12)-LEN(SUBSTITUTE(U12,",",""))+1)</f>
        <v>2</v>
      </c>
      <c r="W12" s="4" t="s">
        <v>712</v>
      </c>
      <c r="X12" s="11" t="s">
        <v>692</v>
      </c>
      <c r="Y12" s="11" t="s">
        <v>684</v>
      </c>
      <c r="Z12" s="11" t="s">
        <v>702</v>
      </c>
      <c r="AA12" s="4" t="s">
        <v>713</v>
      </c>
      <c r="AB12" s="4" t="str">
        <f aca="false">IF(AND(LEFT(Z12,1)="P",LEN(Z12)=3),Z12,A12)</f>
        <v>P04</v>
      </c>
    </row>
    <row r="13" customFormat="false" ht="23.85" hidden="false" customHeight="false" outlineLevel="0" collapsed="false">
      <c r="A13" s="4" t="s">
        <v>329</v>
      </c>
      <c r="B13" s="4" t="s">
        <v>330</v>
      </c>
      <c r="C13" s="8" t="n">
        <v>2</v>
      </c>
      <c r="D13" s="8" t="n">
        <v>3</v>
      </c>
      <c r="E13" s="8" t="n">
        <v>3</v>
      </c>
      <c r="F13" s="8" t="n">
        <v>4</v>
      </c>
      <c r="G13" s="8" t="n">
        <v>2</v>
      </c>
      <c r="H13" s="8" t="n">
        <v>1</v>
      </c>
      <c r="I13" s="8" t="n">
        <v>3</v>
      </c>
      <c r="J13" s="8" t="n">
        <v>3</v>
      </c>
      <c r="K13" s="8" t="n">
        <v>2</v>
      </c>
      <c r="L13" s="8" t="n">
        <v>5</v>
      </c>
      <c r="M13" s="8" t="n">
        <v>3</v>
      </c>
      <c r="N13" s="8" t="n">
        <v>2</v>
      </c>
      <c r="O13" s="9" t="n">
        <f aca="false">SUM(C13:N13)</f>
        <v>33</v>
      </c>
      <c r="P13" s="10" t="n">
        <f aca="false">C13*C_Weights!$D$4+D13*C_Weights!$D$5+E13*C_Weights!$D$6+F13*C_Weights!$D$7+G13*C_Weights!$D$8+H13*C_Weights!$D$9+I13*C_Weights!$D$10+J13*C_Weights!$D$11+K13*C_Weights!$D$12+L13*C_Weights!$D$13+M13*C_Weights!$D$14+N13*C_Weights!$D$15</f>
        <v>33</v>
      </c>
      <c r="Q13" s="10" t="n">
        <f aca="false">C13*C_Weights!$E$4+D13*C_Weights!$E$5+E13*C_Weights!$E$6+F13*C_Weights!$E$7+G13*C_Weights!$E$8+H13*C_Weights!$E$9+I13*C_Weights!$E$10+J13*C_Weights!$E$11+K13*C_Weights!$E$12+L13*C_Weights!$E$13+M13*C_Weights!$E$14+N13*C_Weights!$E$15</f>
        <v>39</v>
      </c>
      <c r="R13" s="10" t="n">
        <f aca="false">C13*C_Weights!$F$4+D13*C_Weights!$F$5+E13*C_Weights!$F$6+F13*C_Weights!$F$7+G13*C_Weights!$F$8+H13*C_Weights!$F$9+I13*C_Weights!$F$10+J13*C_Weights!$F$11+K13*C_Weights!$F$12+L13*C_Weights!$F$13+M13*C_Weights!$F$14+N13*C_Weights!$F$15</f>
        <v>38.5</v>
      </c>
      <c r="S13" s="10" t="n">
        <f aca="false">C13*C_Weights!$G$4+D13*C_Weights!$G$5+E13*C_Weights!$G$6+F13*C_Weights!$G$7+G13*C_Weights!$G$8+H13*C_Weights!$G$9+I13*C_Weights!$G$10+J13*C_Weights!$G$11+K13*C_Weights!$G$12+L13*C_Weights!$G$13+M13*C_Weights!$G$14+N13*C_Weights!$G$15</f>
        <v>36.5</v>
      </c>
      <c r="T13" s="9" t="n">
        <f aca="false">RANK(O13,$O$4:$O$48)</f>
        <v>35</v>
      </c>
      <c r="U13" s="4" t="s">
        <v>379</v>
      </c>
      <c r="V13" s="9" t="n">
        <f aca="false">IF(U13="-",0,LEN(U13)-LEN(SUBSTITUTE(U13,",",""))+1)</f>
        <v>0</v>
      </c>
      <c r="W13" s="4" t="s">
        <v>699</v>
      </c>
      <c r="X13" s="11" t="s">
        <v>700</v>
      </c>
      <c r="Y13" s="11" t="s">
        <v>714</v>
      </c>
      <c r="Z13" s="11" t="s">
        <v>715</v>
      </c>
      <c r="AA13" s="4" t="s">
        <v>716</v>
      </c>
      <c r="AB13" s="4" t="str">
        <f aca="false">IF(AND(LEFT(Z13,1)="P",LEN(Z13)=3),Z13,A13)</f>
        <v>C10</v>
      </c>
    </row>
    <row r="14" customFormat="false" ht="23.85" hidden="false" customHeight="false" outlineLevel="0" collapsed="false">
      <c r="A14" s="4" t="s">
        <v>340</v>
      </c>
      <c r="B14" s="4" t="s">
        <v>341</v>
      </c>
      <c r="C14" s="8" t="n">
        <v>4</v>
      </c>
      <c r="D14" s="8" t="n">
        <v>5</v>
      </c>
      <c r="E14" s="8" t="n">
        <v>5</v>
      </c>
      <c r="F14" s="8" t="n">
        <v>4</v>
      </c>
      <c r="G14" s="8" t="n">
        <v>4</v>
      </c>
      <c r="H14" s="8" t="n">
        <v>5</v>
      </c>
      <c r="I14" s="8" t="n">
        <v>1</v>
      </c>
      <c r="J14" s="8" t="n">
        <v>2</v>
      </c>
      <c r="K14" s="8" t="n">
        <v>4</v>
      </c>
      <c r="L14" s="8" t="n">
        <v>2</v>
      </c>
      <c r="M14" s="8" t="n">
        <v>4</v>
      </c>
      <c r="N14" s="8" t="n">
        <v>4</v>
      </c>
      <c r="O14" s="9" t="n">
        <f aca="false">SUM(C14:N14)</f>
        <v>44</v>
      </c>
      <c r="P14" s="10" t="n">
        <f aca="false">C14*C_Weights!$D$4+D14*C_Weights!$D$5+E14*C_Weights!$D$6+F14*C_Weights!$D$7+G14*C_Weights!$D$8+H14*C_Weights!$D$9+I14*C_Weights!$D$10+J14*C_Weights!$D$11+K14*C_Weights!$D$12+L14*C_Weights!$D$13+M14*C_Weights!$D$14+N14*C_Weights!$D$15</f>
        <v>44</v>
      </c>
      <c r="Q14" s="10" t="n">
        <f aca="false">C14*C_Weights!$E$4+D14*C_Weights!$E$5+E14*C_Weights!$E$6+F14*C_Weights!$E$7+G14*C_Weights!$E$8+H14*C_Weights!$E$9+I14*C_Weights!$E$10+J14*C_Weights!$E$11+K14*C_Weights!$E$12+L14*C_Weights!$E$13+M14*C_Weights!$E$14+N14*C_Weights!$E$15</f>
        <v>55</v>
      </c>
      <c r="R14" s="10" t="n">
        <f aca="false">C14*C_Weights!$F$4+D14*C_Weights!$F$5+E14*C_Weights!$F$6+F14*C_Weights!$F$7+G14*C_Weights!$F$8+H14*C_Weights!$F$9+I14*C_Weights!$F$10+J14*C_Weights!$F$11+K14*C_Weights!$F$12+L14*C_Weights!$F$13+M14*C_Weights!$F$14+N14*C_Weights!$F$15</f>
        <v>52.5</v>
      </c>
      <c r="S14" s="10" t="n">
        <f aca="false">C14*C_Weights!$G$4+D14*C_Weights!$G$5+E14*C_Weights!$G$6+F14*C_Weights!$G$7+G14*C_Weights!$G$8+H14*C_Weights!$G$9+I14*C_Weights!$G$10+J14*C_Weights!$G$11+K14*C_Weights!$G$12+L14*C_Weights!$G$13+M14*C_Weights!$G$14+N14*C_Weights!$G$15</f>
        <v>50</v>
      </c>
      <c r="T14" s="9" t="n">
        <f aca="false">RANK(O14,$O$4:$O$48)</f>
        <v>21</v>
      </c>
      <c r="U14" s="4" t="s">
        <v>695</v>
      </c>
      <c r="V14" s="9" t="n">
        <f aca="false">IF(U14="-",0,LEN(U14)-LEN(SUBSTITUTE(U14,",",""))+1)</f>
        <v>2</v>
      </c>
      <c r="W14" s="4" t="s">
        <v>705</v>
      </c>
      <c r="X14" s="11" t="s">
        <v>692</v>
      </c>
      <c r="Y14" s="11" t="s">
        <v>684</v>
      </c>
      <c r="Z14" s="11" t="s">
        <v>717</v>
      </c>
      <c r="AA14" s="4" t="s">
        <v>718</v>
      </c>
      <c r="AB14" s="4" t="str">
        <f aca="false">IF(AND(LEFT(Z14,1)="P",LEN(Z14)=3),Z14,A14)</f>
        <v>P06</v>
      </c>
    </row>
    <row r="15" customFormat="false" ht="23.85" hidden="false" customHeight="false" outlineLevel="0" collapsed="false">
      <c r="A15" s="4" t="s">
        <v>350</v>
      </c>
      <c r="B15" s="4" t="s">
        <v>351</v>
      </c>
      <c r="C15" s="8" t="n">
        <v>5</v>
      </c>
      <c r="D15" s="8" t="n">
        <v>5</v>
      </c>
      <c r="E15" s="8" t="n">
        <v>2</v>
      </c>
      <c r="F15" s="8" t="n">
        <v>3</v>
      </c>
      <c r="G15" s="8" t="n">
        <v>5</v>
      </c>
      <c r="H15" s="8" t="n">
        <v>5</v>
      </c>
      <c r="I15" s="8" t="n">
        <v>3</v>
      </c>
      <c r="J15" s="8" t="n">
        <v>3</v>
      </c>
      <c r="K15" s="8" t="n">
        <v>2</v>
      </c>
      <c r="L15" s="8" t="n">
        <v>3</v>
      </c>
      <c r="M15" s="8" t="n">
        <v>5</v>
      </c>
      <c r="N15" s="8" t="n">
        <v>4</v>
      </c>
      <c r="O15" s="9" t="n">
        <f aca="false">SUM(C15:N15)</f>
        <v>45</v>
      </c>
      <c r="P15" s="10" t="n">
        <f aca="false">C15*C_Weights!$D$4+D15*C_Weights!$D$5+E15*C_Weights!$D$6+F15*C_Weights!$D$7+G15*C_Weights!$D$8+H15*C_Weights!$D$9+I15*C_Weights!$D$10+J15*C_Weights!$D$11+K15*C_Weights!$D$12+L15*C_Weights!$D$13+M15*C_Weights!$D$14+N15*C_Weights!$D$15</f>
        <v>45</v>
      </c>
      <c r="Q15" s="10" t="n">
        <f aca="false">C15*C_Weights!$E$4+D15*C_Weights!$E$5+E15*C_Weights!$E$6+F15*C_Weights!$E$7+G15*C_Weights!$E$8+H15*C_Weights!$E$9+I15*C_Weights!$E$10+J15*C_Weights!$E$11+K15*C_Weights!$E$12+L15*C_Weights!$E$13+M15*C_Weights!$E$14+N15*C_Weights!$E$15</f>
        <v>59</v>
      </c>
      <c r="R15" s="10" t="n">
        <f aca="false">C15*C_Weights!$F$4+D15*C_Weights!$F$5+E15*C_Weights!$F$6+F15*C_Weights!$F$7+G15*C_Weights!$F$8+H15*C_Weights!$F$9+I15*C_Weights!$F$10+J15*C_Weights!$F$11+K15*C_Weights!$F$12+L15*C_Weights!$F$13+M15*C_Weights!$F$14+N15*C_Weights!$F$15</f>
        <v>49.5</v>
      </c>
      <c r="S15" s="10" t="n">
        <f aca="false">C15*C_Weights!$G$4+D15*C_Weights!$G$5+E15*C_Weights!$G$6+F15*C_Weights!$G$7+G15*C_Weights!$G$8+H15*C_Weights!$G$9+I15*C_Weights!$G$10+J15*C_Weights!$G$11+K15*C_Weights!$G$12+L15*C_Weights!$G$13+M15*C_Weights!$G$14+N15*C_Weights!$G$15</f>
        <v>51.5</v>
      </c>
      <c r="T15" s="9" t="n">
        <f aca="false">RANK(O15,$O$4:$O$48)</f>
        <v>18</v>
      </c>
      <c r="U15" s="4" t="s">
        <v>719</v>
      </c>
      <c r="V15" s="9" t="n">
        <f aca="false">IF(U15="-",0,LEN(U15)-LEN(SUBSTITUTE(U15,",",""))+1)</f>
        <v>1</v>
      </c>
      <c r="W15" s="4" t="s">
        <v>699</v>
      </c>
      <c r="X15" s="11" t="s">
        <v>700</v>
      </c>
      <c r="Y15" s="11" t="s">
        <v>684</v>
      </c>
      <c r="Z15" s="11" t="s">
        <v>720</v>
      </c>
      <c r="AA15" s="4" t="s">
        <v>721</v>
      </c>
      <c r="AB15" s="4" t="str">
        <f aca="false">IF(AND(LEFT(Z15,1)="P",LEN(Z15)=3),Z15,A15)</f>
        <v>P05</v>
      </c>
    </row>
    <row r="16" customFormat="false" ht="23.85" hidden="false" customHeight="false" outlineLevel="0" collapsed="false">
      <c r="A16" s="4" t="s">
        <v>361</v>
      </c>
      <c r="B16" s="4" t="s">
        <v>362</v>
      </c>
      <c r="C16" s="8" t="n">
        <v>5</v>
      </c>
      <c r="D16" s="8" t="n">
        <v>5</v>
      </c>
      <c r="E16" s="8" t="n">
        <v>4</v>
      </c>
      <c r="F16" s="8" t="n">
        <v>4</v>
      </c>
      <c r="G16" s="8" t="n">
        <v>5</v>
      </c>
      <c r="H16" s="8" t="n">
        <v>4</v>
      </c>
      <c r="I16" s="8" t="n">
        <v>4</v>
      </c>
      <c r="J16" s="8" t="n">
        <v>5</v>
      </c>
      <c r="K16" s="8" t="n">
        <v>3</v>
      </c>
      <c r="L16" s="8" t="n">
        <v>4</v>
      </c>
      <c r="M16" s="8" t="n">
        <v>5</v>
      </c>
      <c r="N16" s="8" t="n">
        <v>5</v>
      </c>
      <c r="O16" s="9" t="n">
        <f aca="false">SUM(C16:N16)</f>
        <v>53</v>
      </c>
      <c r="P16" s="10" t="n">
        <f aca="false">C16*C_Weights!$D$4+D16*C_Weights!$D$5+E16*C_Weights!$D$6+F16*C_Weights!$D$7+G16*C_Weights!$D$8+H16*C_Weights!$D$9+I16*C_Weights!$D$10+J16*C_Weights!$D$11+K16*C_Weights!$D$12+L16*C_Weights!$D$13+M16*C_Weights!$D$14+N16*C_Weights!$D$15</f>
        <v>53</v>
      </c>
      <c r="Q16" s="10" t="n">
        <f aca="false">C16*C_Weights!$E$4+D16*C_Weights!$E$5+E16*C_Weights!$E$6+F16*C_Weights!$E$7+G16*C_Weights!$E$8+H16*C_Weights!$E$9+I16*C_Weights!$E$10+J16*C_Weights!$E$11+K16*C_Weights!$E$12+L16*C_Weights!$E$13+M16*C_Weights!$E$14+N16*C_Weights!$E$15</f>
        <v>67</v>
      </c>
      <c r="R16" s="10" t="n">
        <f aca="false">C16*C_Weights!$F$4+D16*C_Weights!$F$5+E16*C_Weights!$F$6+F16*C_Weights!$F$7+G16*C_Weights!$F$8+H16*C_Weights!$F$9+I16*C_Weights!$F$10+J16*C_Weights!$F$11+K16*C_Weights!$F$12+L16*C_Weights!$F$13+M16*C_Weights!$F$14+N16*C_Weights!$F$15</f>
        <v>60</v>
      </c>
      <c r="S16" s="10" t="n">
        <f aca="false">C16*C_Weights!$G$4+D16*C_Weights!$G$5+E16*C_Weights!$G$6+F16*C_Weights!$G$7+G16*C_Weights!$G$8+H16*C_Weights!$G$9+I16*C_Weights!$G$10+J16*C_Weights!$G$11+K16*C_Weights!$G$12+L16*C_Weights!$G$13+M16*C_Weights!$G$14+N16*C_Weights!$G$15</f>
        <v>60.5</v>
      </c>
      <c r="T16" s="9" t="n">
        <f aca="false">RANK(O16,$O$4:$O$48)</f>
        <v>3</v>
      </c>
      <c r="U16" s="4" t="s">
        <v>722</v>
      </c>
      <c r="V16" s="9" t="n">
        <f aca="false">IF(U16="-",0,LEN(U16)-LEN(SUBSTITUTE(U16,",",""))+1)</f>
        <v>3</v>
      </c>
      <c r="W16" s="4" t="s">
        <v>712</v>
      </c>
      <c r="X16" s="11" t="s">
        <v>692</v>
      </c>
      <c r="Y16" s="11" t="s">
        <v>684</v>
      </c>
      <c r="Z16" s="11" t="s">
        <v>723</v>
      </c>
      <c r="AA16" s="4" t="s">
        <v>724</v>
      </c>
      <c r="AB16" s="4" t="str">
        <f aca="false">IF(AND(LEFT(Z16,1)="P",LEN(Z16)=3),Z16,A16)</f>
        <v>P08</v>
      </c>
    </row>
    <row r="17" customFormat="false" ht="23.85" hidden="false" customHeight="false" outlineLevel="0" collapsed="false">
      <c r="A17" s="4" t="s">
        <v>371</v>
      </c>
      <c r="B17" s="4" t="s">
        <v>372</v>
      </c>
      <c r="C17" s="8" t="n">
        <v>4</v>
      </c>
      <c r="D17" s="8" t="n">
        <v>4</v>
      </c>
      <c r="E17" s="8" t="n">
        <v>3</v>
      </c>
      <c r="F17" s="8" t="n">
        <v>4</v>
      </c>
      <c r="G17" s="8" t="n">
        <v>4</v>
      </c>
      <c r="H17" s="8" t="n">
        <v>3</v>
      </c>
      <c r="I17" s="8" t="n">
        <v>4</v>
      </c>
      <c r="J17" s="8" t="n">
        <v>3</v>
      </c>
      <c r="K17" s="8" t="n">
        <v>4</v>
      </c>
      <c r="L17" s="8" t="n">
        <v>3</v>
      </c>
      <c r="M17" s="8" t="n">
        <v>4</v>
      </c>
      <c r="N17" s="8" t="n">
        <v>4</v>
      </c>
      <c r="O17" s="9" t="n">
        <f aca="false">SUM(C17:N17)</f>
        <v>44</v>
      </c>
      <c r="P17" s="10" t="n">
        <f aca="false">C17*C_Weights!$D$4+D17*C_Weights!$D$5+E17*C_Weights!$D$6+F17*C_Weights!$D$7+G17*C_Weights!$D$8+H17*C_Weights!$D$9+I17*C_Weights!$D$10+J17*C_Weights!$D$11+K17*C_Weights!$D$12+L17*C_Weights!$D$13+M17*C_Weights!$D$14+N17*C_Weights!$D$15</f>
        <v>44</v>
      </c>
      <c r="Q17" s="10" t="n">
        <f aca="false">C17*C_Weights!$E$4+D17*C_Weights!$E$5+E17*C_Weights!$E$6+F17*C_Weights!$E$7+G17*C_Weights!$E$8+H17*C_Weights!$E$9+I17*C_Weights!$E$10+J17*C_Weights!$E$11+K17*C_Weights!$E$12+L17*C_Weights!$E$13+M17*C_Weights!$E$14+N17*C_Weights!$E$15</f>
        <v>55.5</v>
      </c>
      <c r="R17" s="10" t="n">
        <f aca="false">C17*C_Weights!$F$4+D17*C_Weights!$F$5+E17*C_Weights!$F$6+F17*C_Weights!$F$7+G17*C_Weights!$F$8+H17*C_Weights!$F$9+I17*C_Weights!$F$10+J17*C_Weights!$F$11+K17*C_Weights!$F$12+L17*C_Weights!$F$13+M17*C_Weights!$F$14+N17*C_Weights!$F$15</f>
        <v>51.5</v>
      </c>
      <c r="S17" s="10" t="n">
        <f aca="false">C17*C_Weights!$G$4+D17*C_Weights!$G$5+E17*C_Weights!$G$6+F17*C_Weights!$G$7+G17*C_Weights!$G$8+H17*C_Weights!$G$9+I17*C_Weights!$G$10+J17*C_Weights!$G$11+K17*C_Weights!$G$12+L17*C_Weights!$G$13+M17*C_Weights!$G$14+N17*C_Weights!$G$15</f>
        <v>50</v>
      </c>
      <c r="T17" s="9" t="n">
        <f aca="false">RANK(O17,$O$4:$O$48)</f>
        <v>21</v>
      </c>
      <c r="U17" s="4" t="s">
        <v>725</v>
      </c>
      <c r="V17" s="9" t="n">
        <f aca="false">IF(U17="-",0,LEN(U17)-LEN(SUBSTITUTE(U17,",",""))+1)</f>
        <v>1</v>
      </c>
      <c r="W17" s="4" t="s">
        <v>726</v>
      </c>
      <c r="X17" s="11" t="s">
        <v>692</v>
      </c>
      <c r="Y17" s="11" t="s">
        <v>693</v>
      </c>
      <c r="Z17" s="11" t="s">
        <v>688</v>
      </c>
      <c r="AA17" s="4" t="s">
        <v>727</v>
      </c>
      <c r="AB17" s="4" t="str">
        <f aca="false">IF(AND(LEFT(Z17,1)="P",LEN(Z17)=3),Z17,A17)</f>
        <v>P02</v>
      </c>
    </row>
    <row r="18" customFormat="false" ht="23.85" hidden="false" customHeight="false" outlineLevel="0" collapsed="false">
      <c r="A18" s="4" t="s">
        <v>380</v>
      </c>
      <c r="B18" s="4" t="s">
        <v>381</v>
      </c>
      <c r="C18" s="8" t="n">
        <v>4</v>
      </c>
      <c r="D18" s="8" t="n">
        <v>5</v>
      </c>
      <c r="E18" s="8" t="n">
        <v>4</v>
      </c>
      <c r="F18" s="8" t="n">
        <v>4</v>
      </c>
      <c r="G18" s="8" t="n">
        <v>4</v>
      </c>
      <c r="H18" s="8" t="n">
        <v>4</v>
      </c>
      <c r="I18" s="8" t="n">
        <v>2</v>
      </c>
      <c r="J18" s="8" t="n">
        <v>3</v>
      </c>
      <c r="K18" s="8" t="n">
        <v>5</v>
      </c>
      <c r="L18" s="8" t="n">
        <v>3</v>
      </c>
      <c r="M18" s="8" t="n">
        <v>4</v>
      </c>
      <c r="N18" s="8" t="n">
        <v>4</v>
      </c>
      <c r="O18" s="9" t="n">
        <f aca="false">SUM(C18:N18)</f>
        <v>46</v>
      </c>
      <c r="P18" s="10" t="n">
        <f aca="false">C18*C_Weights!$D$4+D18*C_Weights!$D$5+E18*C_Weights!$D$6+F18*C_Weights!$D$7+G18*C_Weights!$D$8+H18*C_Weights!$D$9+I18*C_Weights!$D$10+J18*C_Weights!$D$11+K18*C_Weights!$D$12+L18*C_Weights!$D$13+M18*C_Weights!$D$14+N18*C_Weights!$D$15</f>
        <v>46</v>
      </c>
      <c r="Q18" s="10" t="n">
        <f aca="false">C18*C_Weights!$E$4+D18*C_Weights!$E$5+E18*C_Weights!$E$6+F18*C_Weights!$E$7+G18*C_Weights!$E$8+H18*C_Weights!$E$9+I18*C_Weights!$E$10+J18*C_Weights!$E$11+K18*C_Weights!$E$12+L18*C_Weights!$E$13+M18*C_Weights!$E$14+N18*C_Weights!$E$15</f>
        <v>57</v>
      </c>
      <c r="R18" s="10" t="n">
        <f aca="false">C18*C_Weights!$F$4+D18*C_Weights!$F$5+E18*C_Weights!$F$6+F18*C_Weights!$F$7+G18*C_Weights!$F$8+H18*C_Weights!$F$9+I18*C_Weights!$F$10+J18*C_Weights!$F$11+K18*C_Weights!$F$12+L18*C_Weights!$F$13+M18*C_Weights!$F$14+N18*C_Weights!$F$15</f>
        <v>55</v>
      </c>
      <c r="S18" s="10" t="n">
        <f aca="false">C18*C_Weights!$G$4+D18*C_Weights!$G$5+E18*C_Weights!$G$6+F18*C_Weights!$G$7+G18*C_Weights!$G$8+H18*C_Weights!$G$9+I18*C_Weights!$G$10+J18*C_Weights!$G$11+K18*C_Weights!$G$12+L18*C_Weights!$G$13+M18*C_Weights!$G$14+N18*C_Weights!$G$15</f>
        <v>52</v>
      </c>
      <c r="T18" s="9" t="n">
        <f aca="false">RANK(O18,$O$4:$O$48)</f>
        <v>17</v>
      </c>
      <c r="U18" s="4" t="s">
        <v>728</v>
      </c>
      <c r="V18" s="9" t="n">
        <f aca="false">IF(U18="-",0,LEN(U18)-LEN(SUBSTITUTE(U18,",",""))+1)</f>
        <v>2</v>
      </c>
      <c r="W18" s="4" t="s">
        <v>691</v>
      </c>
      <c r="X18" s="11" t="s">
        <v>683</v>
      </c>
      <c r="Y18" s="11" t="s">
        <v>693</v>
      </c>
      <c r="Z18" s="11" t="s">
        <v>717</v>
      </c>
      <c r="AA18" s="4" t="s">
        <v>729</v>
      </c>
      <c r="AB18" s="4" t="str">
        <f aca="false">IF(AND(LEFT(Z18,1)="P",LEN(Z18)=3),Z18,A18)</f>
        <v>P06</v>
      </c>
    </row>
    <row r="19" customFormat="false" ht="23.85" hidden="false" customHeight="false" outlineLevel="0" collapsed="false">
      <c r="A19" s="4" t="s">
        <v>388</v>
      </c>
      <c r="B19" s="4" t="s">
        <v>389</v>
      </c>
      <c r="C19" s="8" t="n">
        <v>5</v>
      </c>
      <c r="D19" s="8" t="n">
        <v>5</v>
      </c>
      <c r="E19" s="8" t="n">
        <v>3</v>
      </c>
      <c r="F19" s="8" t="n">
        <v>4</v>
      </c>
      <c r="G19" s="8" t="n">
        <v>5</v>
      </c>
      <c r="H19" s="8" t="n">
        <v>3</v>
      </c>
      <c r="I19" s="8" t="n">
        <v>5</v>
      </c>
      <c r="J19" s="8" t="n">
        <v>5</v>
      </c>
      <c r="K19" s="8" t="n">
        <v>3</v>
      </c>
      <c r="L19" s="8" t="n">
        <v>5</v>
      </c>
      <c r="M19" s="8" t="n">
        <v>4</v>
      </c>
      <c r="N19" s="8" t="n">
        <v>5</v>
      </c>
      <c r="O19" s="9" t="n">
        <f aca="false">SUM(C19:N19)</f>
        <v>52</v>
      </c>
      <c r="P19" s="10" t="n">
        <f aca="false">C19*C_Weights!$D$4+D19*C_Weights!$D$5+E19*C_Weights!$D$6+F19*C_Weights!$D$7+G19*C_Weights!$D$8+H19*C_Weights!$D$9+I19*C_Weights!$D$10+J19*C_Weights!$D$11+K19*C_Weights!$D$12+L19*C_Weights!$D$13+M19*C_Weights!$D$14+N19*C_Weights!$D$15</f>
        <v>52</v>
      </c>
      <c r="Q19" s="10" t="n">
        <f aca="false">C19*C_Weights!$E$4+D19*C_Weights!$E$5+E19*C_Weights!$E$6+F19*C_Weights!$E$7+G19*C_Weights!$E$8+H19*C_Weights!$E$9+I19*C_Weights!$E$10+J19*C_Weights!$E$11+K19*C_Weights!$E$12+L19*C_Weights!$E$13+M19*C_Weights!$E$14+N19*C_Weights!$E$15</f>
        <v>66</v>
      </c>
      <c r="R19" s="10" t="n">
        <f aca="false">C19*C_Weights!$F$4+D19*C_Weights!$F$5+E19*C_Weights!$F$6+F19*C_Weights!$F$7+G19*C_Weights!$F$8+H19*C_Weights!$F$9+I19*C_Weights!$F$10+J19*C_Weights!$F$11+K19*C_Weights!$F$12+L19*C_Weights!$F$13+M19*C_Weights!$F$14+N19*C_Weights!$F$15</f>
        <v>58.5</v>
      </c>
      <c r="S19" s="10" t="n">
        <f aca="false">C19*C_Weights!$G$4+D19*C_Weights!$G$5+E19*C_Weights!$G$6+F19*C_Weights!$G$7+G19*C_Weights!$G$8+H19*C_Weights!$G$9+I19*C_Weights!$G$10+J19*C_Weights!$G$11+K19*C_Weights!$G$12+L19*C_Weights!$G$13+M19*C_Weights!$G$14+N19*C_Weights!$G$15</f>
        <v>59</v>
      </c>
      <c r="T19" s="9" t="n">
        <f aca="false">RANK(O19,$O$4:$O$48)</f>
        <v>5</v>
      </c>
      <c r="U19" s="4" t="s">
        <v>730</v>
      </c>
      <c r="V19" s="9" t="n">
        <f aca="false">IF(U19="-",0,LEN(U19)-LEN(SUBSTITUTE(U19,",",""))+1)</f>
        <v>4</v>
      </c>
      <c r="W19" s="4" t="s">
        <v>731</v>
      </c>
      <c r="X19" s="11" t="s">
        <v>692</v>
      </c>
      <c r="Y19" s="11" t="s">
        <v>684</v>
      </c>
      <c r="Z19" s="11" t="s">
        <v>732</v>
      </c>
      <c r="AA19" s="4" t="s">
        <v>733</v>
      </c>
      <c r="AB19" s="4" t="str">
        <f aca="false">IF(AND(LEFT(Z19,1)="P",LEN(Z19)=3),Z19,A19)</f>
        <v>P09</v>
      </c>
    </row>
    <row r="20" customFormat="false" ht="23.85" hidden="false" customHeight="false" outlineLevel="0" collapsed="false">
      <c r="A20" s="4" t="s">
        <v>397</v>
      </c>
      <c r="B20" s="4" t="s">
        <v>398</v>
      </c>
      <c r="C20" s="8" t="n">
        <v>3</v>
      </c>
      <c r="D20" s="8" t="n">
        <v>4</v>
      </c>
      <c r="E20" s="8" t="n">
        <v>3</v>
      </c>
      <c r="F20" s="8" t="n">
        <v>4</v>
      </c>
      <c r="G20" s="8" t="n">
        <v>3</v>
      </c>
      <c r="H20" s="8" t="n">
        <v>4</v>
      </c>
      <c r="I20" s="8" t="n">
        <v>2</v>
      </c>
      <c r="J20" s="8" t="n">
        <v>2</v>
      </c>
      <c r="K20" s="8" t="n">
        <v>3</v>
      </c>
      <c r="L20" s="8" t="n">
        <v>2</v>
      </c>
      <c r="M20" s="8" t="n">
        <v>4</v>
      </c>
      <c r="N20" s="8" t="n">
        <v>3</v>
      </c>
      <c r="O20" s="9" t="n">
        <f aca="false">SUM(C20:N20)</f>
        <v>37</v>
      </c>
      <c r="P20" s="10" t="n">
        <f aca="false">C20*C_Weights!$D$4+D20*C_Weights!$D$5+E20*C_Weights!$D$6+F20*C_Weights!$D$7+G20*C_Weights!$D$8+H20*C_Weights!$D$9+I20*C_Weights!$D$10+J20*C_Weights!$D$11+K20*C_Weights!$D$12+L20*C_Weights!$D$13+M20*C_Weights!$D$14+N20*C_Weights!$D$15</f>
        <v>37</v>
      </c>
      <c r="Q20" s="10" t="n">
        <f aca="false">C20*C_Weights!$E$4+D20*C_Weights!$E$5+E20*C_Weights!$E$6+F20*C_Weights!$E$7+G20*C_Weights!$E$8+H20*C_Weights!$E$9+I20*C_Weights!$E$10+J20*C_Weights!$E$11+K20*C_Weights!$E$12+L20*C_Weights!$E$13+M20*C_Weights!$E$14+N20*C_Weights!$E$15</f>
        <v>46</v>
      </c>
      <c r="R20" s="10" t="n">
        <f aca="false">C20*C_Weights!$F$4+D20*C_Weights!$F$5+E20*C_Weights!$F$6+F20*C_Weights!$F$7+G20*C_Weights!$F$8+H20*C_Weights!$F$9+I20*C_Weights!$F$10+J20*C_Weights!$F$11+K20*C_Weights!$F$12+L20*C_Weights!$F$13+M20*C_Weights!$F$14+N20*C_Weights!$F$15</f>
        <v>43.5</v>
      </c>
      <c r="S20" s="10" t="n">
        <f aca="false">C20*C_Weights!$G$4+D20*C_Weights!$G$5+E20*C_Weights!$G$6+F20*C_Weights!$G$7+G20*C_Weights!$G$8+H20*C_Weights!$G$9+I20*C_Weights!$G$10+J20*C_Weights!$G$11+K20*C_Weights!$G$12+L20*C_Weights!$G$13+M20*C_Weights!$G$14+N20*C_Weights!$G$15</f>
        <v>42</v>
      </c>
      <c r="T20" s="9" t="n">
        <f aca="false">RANK(O20,$O$4:$O$48)</f>
        <v>28</v>
      </c>
      <c r="U20" s="4" t="s">
        <v>698</v>
      </c>
      <c r="V20" s="9" t="n">
        <f aca="false">IF(U20="-",0,LEN(U20)-LEN(SUBSTITUTE(U20,",",""))+1)</f>
        <v>1</v>
      </c>
      <c r="W20" s="4" t="s">
        <v>705</v>
      </c>
      <c r="X20" s="11" t="s">
        <v>700</v>
      </c>
      <c r="Y20" s="11" t="s">
        <v>693</v>
      </c>
      <c r="Z20" s="11" t="s">
        <v>696</v>
      </c>
      <c r="AA20" s="4" t="s">
        <v>734</v>
      </c>
      <c r="AB20" s="4" t="str">
        <f aca="false">IF(AND(LEFT(Z20,1)="P",LEN(Z20)=3),Z20,A20)</f>
        <v>P07</v>
      </c>
    </row>
    <row r="21" customFormat="false" ht="23.85" hidden="false" customHeight="false" outlineLevel="0" collapsed="false">
      <c r="A21" s="4" t="s">
        <v>407</v>
      </c>
      <c r="B21" s="4" t="s">
        <v>408</v>
      </c>
      <c r="C21" s="8" t="n">
        <v>2</v>
      </c>
      <c r="D21" s="8" t="n">
        <v>3</v>
      </c>
      <c r="E21" s="8" t="n">
        <v>5</v>
      </c>
      <c r="F21" s="8" t="n">
        <v>3</v>
      </c>
      <c r="G21" s="8" t="n">
        <v>3</v>
      </c>
      <c r="H21" s="8" t="n">
        <v>1</v>
      </c>
      <c r="I21" s="8" t="n">
        <v>1</v>
      </c>
      <c r="J21" s="8" t="n">
        <v>2</v>
      </c>
      <c r="K21" s="8" t="n">
        <v>3</v>
      </c>
      <c r="L21" s="8" t="n">
        <v>4</v>
      </c>
      <c r="M21" s="8" t="n">
        <v>3</v>
      </c>
      <c r="N21" s="8" t="n">
        <v>3</v>
      </c>
      <c r="O21" s="9" t="n">
        <f aca="false">SUM(C21:N21)</f>
        <v>33</v>
      </c>
      <c r="P21" s="10" t="n">
        <f aca="false">C21*C_Weights!$D$4+D21*C_Weights!$D$5+E21*C_Weights!$D$6+F21*C_Weights!$D$7+G21*C_Weights!$D$8+H21*C_Weights!$D$9+I21*C_Weights!$D$10+J21*C_Weights!$D$11+K21*C_Weights!$D$12+L21*C_Weights!$D$13+M21*C_Weights!$D$14+N21*C_Weights!$D$15</f>
        <v>33</v>
      </c>
      <c r="Q21" s="10" t="n">
        <f aca="false">C21*C_Weights!$E$4+D21*C_Weights!$E$5+E21*C_Weights!$E$6+F21*C_Weights!$E$7+G21*C_Weights!$E$8+H21*C_Weights!$E$9+I21*C_Weights!$E$10+J21*C_Weights!$E$11+K21*C_Weights!$E$12+L21*C_Weights!$E$13+M21*C_Weights!$E$14+N21*C_Weights!$E$15</f>
        <v>39</v>
      </c>
      <c r="R21" s="10" t="n">
        <f aca="false">C21*C_Weights!$F$4+D21*C_Weights!$F$5+E21*C_Weights!$F$6+F21*C_Weights!$F$7+G21*C_Weights!$F$8+H21*C_Weights!$F$9+I21*C_Weights!$F$10+J21*C_Weights!$F$11+K21*C_Weights!$F$12+L21*C_Weights!$F$13+M21*C_Weights!$F$14+N21*C_Weights!$F$15</f>
        <v>40</v>
      </c>
      <c r="S21" s="10" t="n">
        <f aca="false">C21*C_Weights!$G$4+D21*C_Weights!$G$5+E21*C_Weights!$G$6+F21*C_Weights!$G$7+G21*C_Weights!$G$8+H21*C_Weights!$G$9+I21*C_Weights!$G$10+J21*C_Weights!$G$11+K21*C_Weights!$G$12+L21*C_Weights!$G$13+M21*C_Weights!$G$14+N21*C_Weights!$G$15</f>
        <v>37.5</v>
      </c>
      <c r="T21" s="9" t="n">
        <f aca="false">RANK(O21,$O$4:$O$48)</f>
        <v>35</v>
      </c>
      <c r="U21" s="4" t="s">
        <v>379</v>
      </c>
      <c r="V21" s="9" t="n">
        <f aca="false">IF(U21="-",0,LEN(U21)-LEN(SUBSTITUTE(U21,",",""))+1)</f>
        <v>0</v>
      </c>
      <c r="W21" s="4" t="s">
        <v>735</v>
      </c>
      <c r="X21" s="11" t="s">
        <v>692</v>
      </c>
      <c r="Y21" s="11" t="s">
        <v>714</v>
      </c>
      <c r="Z21" s="11" t="s">
        <v>736</v>
      </c>
      <c r="AA21" s="4" t="s">
        <v>737</v>
      </c>
      <c r="AB21" s="4" t="str">
        <f aca="false">IF(AND(LEFT(Z21,1)="P",LEN(Z21)=3),Z21,A21)</f>
        <v>C18</v>
      </c>
    </row>
    <row r="22" customFormat="false" ht="23.85" hidden="false" customHeight="false" outlineLevel="0" collapsed="false">
      <c r="A22" s="4" t="s">
        <v>416</v>
      </c>
      <c r="B22" s="4" t="s">
        <v>417</v>
      </c>
      <c r="C22" s="8" t="n">
        <v>2</v>
      </c>
      <c r="D22" s="8" t="n">
        <v>3</v>
      </c>
      <c r="E22" s="8" t="n">
        <v>4</v>
      </c>
      <c r="F22" s="8" t="n">
        <v>3</v>
      </c>
      <c r="G22" s="8" t="n">
        <v>2</v>
      </c>
      <c r="H22" s="8" t="n">
        <v>3</v>
      </c>
      <c r="I22" s="8" t="n">
        <v>1</v>
      </c>
      <c r="J22" s="8" t="n">
        <v>1</v>
      </c>
      <c r="K22" s="8" t="n">
        <v>2</v>
      </c>
      <c r="L22" s="8" t="n">
        <v>2</v>
      </c>
      <c r="M22" s="8" t="n">
        <v>3</v>
      </c>
      <c r="N22" s="8" t="n">
        <v>2</v>
      </c>
      <c r="O22" s="9" t="n">
        <f aca="false">SUM(C22:N22)</f>
        <v>28</v>
      </c>
      <c r="P22" s="10" t="n">
        <f aca="false">C22*C_Weights!$D$4+D22*C_Weights!$D$5+E22*C_Weights!$D$6+F22*C_Weights!$D$7+G22*C_Weights!$D$8+H22*C_Weights!$D$9+I22*C_Weights!$D$10+J22*C_Weights!$D$11+K22*C_Weights!$D$12+L22*C_Weights!$D$13+M22*C_Weights!$D$14+N22*C_Weights!$D$15</f>
        <v>28</v>
      </c>
      <c r="Q22" s="10" t="n">
        <f aca="false">C22*C_Weights!$E$4+D22*C_Weights!$E$5+E22*C_Weights!$E$6+F22*C_Weights!$E$7+G22*C_Weights!$E$8+H22*C_Weights!$E$9+I22*C_Weights!$E$10+J22*C_Weights!$E$11+K22*C_Weights!$E$12+L22*C_Weights!$E$13+M22*C_Weights!$E$14+N22*C_Weights!$E$15</f>
        <v>34</v>
      </c>
      <c r="R22" s="10" t="n">
        <f aca="false">C22*C_Weights!$F$4+D22*C_Weights!$F$5+E22*C_Weights!$F$6+F22*C_Weights!$F$7+G22*C_Weights!$F$8+H22*C_Weights!$F$9+I22*C_Weights!$F$10+J22*C_Weights!$F$11+K22*C_Weights!$F$12+L22*C_Weights!$F$13+M22*C_Weights!$F$14+N22*C_Weights!$F$15</f>
        <v>33.5</v>
      </c>
      <c r="S22" s="10" t="n">
        <f aca="false">C22*C_Weights!$G$4+D22*C_Weights!$G$5+E22*C_Weights!$G$6+F22*C_Weights!$G$7+G22*C_Weights!$G$8+H22*C_Weights!$G$9+I22*C_Weights!$G$10+J22*C_Weights!$G$11+K22*C_Weights!$G$12+L22*C_Weights!$G$13+M22*C_Weights!$G$14+N22*C_Weights!$G$15</f>
        <v>31.5</v>
      </c>
      <c r="T22" s="9" t="n">
        <f aca="false">RANK(O22,$O$4:$O$48)</f>
        <v>39</v>
      </c>
      <c r="U22" s="4" t="s">
        <v>379</v>
      </c>
      <c r="V22" s="9" t="n">
        <f aca="false">IF(U22="-",0,LEN(U22)-LEN(SUBSTITUTE(U22,",",""))+1)</f>
        <v>0</v>
      </c>
      <c r="W22" s="4" t="s">
        <v>699</v>
      </c>
      <c r="X22" s="11" t="s">
        <v>692</v>
      </c>
      <c r="Y22" s="11" t="s">
        <v>714</v>
      </c>
      <c r="Z22" s="11" t="s">
        <v>738</v>
      </c>
      <c r="AA22" s="4" t="s">
        <v>739</v>
      </c>
      <c r="AB22" s="4" t="str">
        <f aca="false">IF(AND(LEFT(Z22,1)="P",LEN(Z22)=3),Z22,A22)</f>
        <v>C19</v>
      </c>
    </row>
    <row r="23" customFormat="false" ht="23.85" hidden="false" customHeight="false" outlineLevel="0" collapsed="false">
      <c r="A23" s="4" t="s">
        <v>425</v>
      </c>
      <c r="B23" s="4" t="s">
        <v>426</v>
      </c>
      <c r="C23" s="8" t="n">
        <v>5</v>
      </c>
      <c r="D23" s="8" t="n">
        <v>5</v>
      </c>
      <c r="E23" s="8" t="n">
        <v>5</v>
      </c>
      <c r="F23" s="8" t="n">
        <v>4</v>
      </c>
      <c r="G23" s="8" t="n">
        <v>4</v>
      </c>
      <c r="H23" s="8" t="n">
        <v>4</v>
      </c>
      <c r="I23" s="8" t="n">
        <v>3</v>
      </c>
      <c r="J23" s="8" t="n">
        <v>4</v>
      </c>
      <c r="K23" s="8" t="n">
        <v>5</v>
      </c>
      <c r="L23" s="8" t="n">
        <v>4</v>
      </c>
      <c r="M23" s="8" t="n">
        <v>4</v>
      </c>
      <c r="N23" s="8" t="n">
        <v>5</v>
      </c>
      <c r="O23" s="9" t="n">
        <f aca="false">SUM(C23:N23)</f>
        <v>52</v>
      </c>
      <c r="P23" s="10" t="n">
        <f aca="false">C23*C_Weights!$D$4+D23*C_Weights!$D$5+E23*C_Weights!$D$6+F23*C_Weights!$D$7+G23*C_Weights!$D$8+H23*C_Weights!$D$9+I23*C_Weights!$D$10+J23*C_Weights!$D$11+K23*C_Weights!$D$12+L23*C_Weights!$D$13+M23*C_Weights!$D$14+N23*C_Weights!$D$15</f>
        <v>52</v>
      </c>
      <c r="Q23" s="10" t="n">
        <f aca="false">C23*C_Weights!$E$4+D23*C_Weights!$E$5+E23*C_Weights!$E$6+F23*C_Weights!$E$7+G23*C_Weights!$E$8+H23*C_Weights!$E$9+I23*C_Weights!$E$10+J23*C_Weights!$E$11+K23*C_Weights!$E$12+L23*C_Weights!$E$13+M23*C_Weights!$E$14+N23*C_Weights!$E$15</f>
        <v>64.5</v>
      </c>
      <c r="R23" s="10" t="n">
        <f aca="false">C23*C_Weights!$F$4+D23*C_Weights!$F$5+E23*C_Weights!$F$6+F23*C_Weights!$F$7+G23*C_Weights!$F$8+H23*C_Weights!$F$9+I23*C_Weights!$F$10+J23*C_Weights!$F$11+K23*C_Weights!$F$12+L23*C_Weights!$F$13+M23*C_Weights!$F$14+N23*C_Weights!$F$15</f>
        <v>61.5</v>
      </c>
      <c r="S23" s="10" t="n">
        <f aca="false">C23*C_Weights!$G$4+D23*C_Weights!$G$5+E23*C_Weights!$G$6+F23*C_Weights!$G$7+G23*C_Weights!$G$8+H23*C_Weights!$G$9+I23*C_Weights!$G$10+J23*C_Weights!$G$11+K23*C_Weights!$G$12+L23*C_Weights!$G$13+M23*C_Weights!$G$14+N23*C_Weights!$G$15</f>
        <v>59</v>
      </c>
      <c r="T23" s="9" t="n">
        <f aca="false">RANK(O23,$O$4:$O$48)</f>
        <v>5</v>
      </c>
      <c r="U23" s="4" t="s">
        <v>740</v>
      </c>
      <c r="V23" s="9" t="n">
        <f aca="false">IF(U23="-",0,LEN(U23)-LEN(SUBSTITUTE(U23,",",""))+1)</f>
        <v>1</v>
      </c>
      <c r="W23" s="4" t="s">
        <v>691</v>
      </c>
      <c r="X23" s="11" t="s">
        <v>683</v>
      </c>
      <c r="Y23" s="11" t="s">
        <v>693</v>
      </c>
      <c r="Z23" s="11" t="s">
        <v>685</v>
      </c>
      <c r="AA23" s="4" t="s">
        <v>741</v>
      </c>
      <c r="AB23" s="4" t="str">
        <f aca="false">IF(AND(LEFT(Z23,1)="P",LEN(Z23)=3),Z23,A23)</f>
        <v>P01</v>
      </c>
    </row>
    <row r="24" customFormat="false" ht="23.85" hidden="false" customHeight="false" outlineLevel="0" collapsed="false">
      <c r="A24" s="4" t="s">
        <v>431</v>
      </c>
      <c r="B24" s="4" t="s">
        <v>432</v>
      </c>
      <c r="C24" s="8" t="n">
        <v>3</v>
      </c>
      <c r="D24" s="8" t="n">
        <v>4</v>
      </c>
      <c r="E24" s="8" t="n">
        <v>3</v>
      </c>
      <c r="F24" s="8" t="n">
        <v>3</v>
      </c>
      <c r="G24" s="8" t="n">
        <v>4</v>
      </c>
      <c r="H24" s="8" t="n">
        <v>4</v>
      </c>
      <c r="I24" s="8" t="n">
        <v>2</v>
      </c>
      <c r="J24" s="8" t="n">
        <v>2</v>
      </c>
      <c r="K24" s="8" t="n">
        <v>1</v>
      </c>
      <c r="L24" s="8" t="n">
        <v>4</v>
      </c>
      <c r="M24" s="8" t="n">
        <v>4</v>
      </c>
      <c r="N24" s="8" t="n">
        <v>3</v>
      </c>
      <c r="O24" s="9" t="n">
        <f aca="false">SUM(C24:N24)</f>
        <v>37</v>
      </c>
      <c r="P24" s="10" t="n">
        <f aca="false">C24*C_Weights!$D$4+D24*C_Weights!$D$5+E24*C_Weights!$D$6+F24*C_Weights!$D$7+G24*C_Weights!$D$8+H24*C_Weights!$D$9+I24*C_Weights!$D$10+J24*C_Weights!$D$11+K24*C_Weights!$D$12+L24*C_Weights!$D$13+M24*C_Weights!$D$14+N24*C_Weights!$D$15</f>
        <v>37</v>
      </c>
      <c r="Q24" s="10" t="n">
        <f aca="false">C24*C_Weights!$E$4+D24*C_Weights!$E$5+E24*C_Weights!$E$6+F24*C_Weights!$E$7+G24*C_Weights!$E$8+H24*C_Weights!$E$9+I24*C_Weights!$E$10+J24*C_Weights!$E$11+K24*C_Weights!$E$12+L24*C_Weights!$E$13+M24*C_Weights!$E$14+N24*C_Weights!$E$15</f>
        <v>47</v>
      </c>
      <c r="R24" s="10" t="n">
        <f aca="false">C24*C_Weights!$F$4+D24*C_Weights!$F$5+E24*C_Weights!$F$6+F24*C_Weights!$F$7+G24*C_Weights!$F$8+H24*C_Weights!$F$9+I24*C_Weights!$F$10+J24*C_Weights!$F$11+K24*C_Weights!$F$12+L24*C_Weights!$F$13+M24*C_Weights!$F$14+N24*C_Weights!$F$15</f>
        <v>41</v>
      </c>
      <c r="S24" s="10" t="n">
        <f aca="false">C24*C_Weights!$G$4+D24*C_Weights!$G$5+E24*C_Weights!$G$6+F24*C_Weights!$G$7+G24*C_Weights!$G$8+H24*C_Weights!$G$9+I24*C_Weights!$G$10+J24*C_Weights!$G$11+K24*C_Weights!$G$12+L24*C_Weights!$G$13+M24*C_Weights!$G$14+N24*C_Weights!$G$15</f>
        <v>42</v>
      </c>
      <c r="T24" s="9" t="n">
        <f aca="false">RANK(O24,$O$4:$O$48)</f>
        <v>28</v>
      </c>
      <c r="U24" s="4" t="s">
        <v>698</v>
      </c>
      <c r="V24" s="9" t="n">
        <f aca="false">IF(U24="-",0,LEN(U24)-LEN(SUBSTITUTE(U24,",",""))+1)</f>
        <v>1</v>
      </c>
      <c r="W24" s="4" t="s">
        <v>742</v>
      </c>
      <c r="X24" s="11" t="s">
        <v>700</v>
      </c>
      <c r="Y24" s="11" t="s">
        <v>743</v>
      </c>
      <c r="Z24" s="11" t="s">
        <v>744</v>
      </c>
      <c r="AA24" s="4" t="s">
        <v>745</v>
      </c>
      <c r="AB24" s="4" t="str">
        <f aca="false">IF(AND(LEFT(Z24,1)="P",LEN(Z24)=3),Z24,A24)</f>
        <v>C21</v>
      </c>
    </row>
    <row r="25" customFormat="false" ht="23.85" hidden="false" customHeight="false" outlineLevel="0" collapsed="false">
      <c r="A25" s="4" t="s">
        <v>440</v>
      </c>
      <c r="B25" s="4" t="s">
        <v>441</v>
      </c>
      <c r="C25" s="8" t="n">
        <v>4</v>
      </c>
      <c r="D25" s="8" t="n">
        <v>5</v>
      </c>
      <c r="E25" s="8" t="n">
        <v>2</v>
      </c>
      <c r="F25" s="8" t="n">
        <v>4</v>
      </c>
      <c r="G25" s="8" t="n">
        <v>5</v>
      </c>
      <c r="H25" s="8" t="n">
        <v>3</v>
      </c>
      <c r="I25" s="8" t="n">
        <v>4</v>
      </c>
      <c r="J25" s="8" t="n">
        <v>5</v>
      </c>
      <c r="K25" s="8" t="n">
        <v>2</v>
      </c>
      <c r="L25" s="8" t="n">
        <v>5</v>
      </c>
      <c r="M25" s="8" t="n">
        <v>5</v>
      </c>
      <c r="N25" s="8" t="n">
        <v>4</v>
      </c>
      <c r="O25" s="9" t="n">
        <f aca="false">SUM(C25:N25)</f>
        <v>48</v>
      </c>
      <c r="P25" s="10" t="n">
        <f aca="false">C25*C_Weights!$D$4+D25*C_Weights!$D$5+E25*C_Weights!$D$6+F25*C_Weights!$D$7+G25*C_Weights!$D$8+H25*C_Weights!$D$9+I25*C_Weights!$D$10+J25*C_Weights!$D$11+K25*C_Weights!$D$12+L25*C_Weights!$D$13+M25*C_Weights!$D$14+N25*C_Weights!$D$15</f>
        <v>48</v>
      </c>
      <c r="Q25" s="10" t="n">
        <f aca="false">C25*C_Weights!$E$4+D25*C_Weights!$E$5+E25*C_Weights!$E$6+F25*C_Weights!$E$7+G25*C_Weights!$E$8+H25*C_Weights!$E$9+I25*C_Weights!$E$10+J25*C_Weights!$E$11+K25*C_Weights!$E$12+L25*C_Weights!$E$13+M25*C_Weights!$E$14+N25*C_Weights!$E$15</f>
        <v>60.5</v>
      </c>
      <c r="R25" s="10" t="n">
        <f aca="false">C25*C_Weights!$F$4+D25*C_Weights!$F$5+E25*C_Weights!$F$6+F25*C_Weights!$F$7+G25*C_Weights!$F$8+H25*C_Weights!$F$9+I25*C_Weights!$F$10+J25*C_Weights!$F$11+K25*C_Weights!$F$12+L25*C_Weights!$F$13+M25*C_Weights!$F$14+N25*C_Weights!$F$15</f>
        <v>53</v>
      </c>
      <c r="S25" s="10" t="n">
        <f aca="false">C25*C_Weights!$G$4+D25*C_Weights!$G$5+E25*C_Weights!$G$6+F25*C_Weights!$G$7+G25*C_Weights!$G$8+H25*C_Weights!$G$9+I25*C_Weights!$G$10+J25*C_Weights!$G$11+K25*C_Weights!$G$12+L25*C_Weights!$G$13+M25*C_Weights!$G$14+N25*C_Weights!$G$15</f>
        <v>54.5</v>
      </c>
      <c r="T25" s="9" t="n">
        <f aca="false">RANK(O25,$O$4:$O$48)</f>
        <v>11</v>
      </c>
      <c r="U25" s="4" t="s">
        <v>746</v>
      </c>
      <c r="V25" s="9" t="n">
        <f aca="false">IF(U25="-",0,LEN(U25)-LEN(SUBSTITUTE(U25,",",""))+1)</f>
        <v>3</v>
      </c>
      <c r="W25" s="4" t="s">
        <v>699</v>
      </c>
      <c r="X25" s="11" t="s">
        <v>700</v>
      </c>
      <c r="Y25" s="11" t="s">
        <v>693</v>
      </c>
      <c r="Z25" s="11" t="s">
        <v>723</v>
      </c>
      <c r="AA25" s="4" t="s">
        <v>747</v>
      </c>
      <c r="AB25" s="4" t="str">
        <f aca="false">IF(AND(LEFT(Z25,1)="P",LEN(Z25)=3),Z25,A25)</f>
        <v>P08</v>
      </c>
    </row>
    <row r="26" customFormat="false" ht="23.85" hidden="false" customHeight="false" outlineLevel="0" collapsed="false">
      <c r="A26" s="4" t="s">
        <v>450</v>
      </c>
      <c r="B26" s="4" t="s">
        <v>451</v>
      </c>
      <c r="C26" s="8" t="n">
        <v>4</v>
      </c>
      <c r="D26" s="8" t="n">
        <v>5</v>
      </c>
      <c r="E26" s="8" t="n">
        <v>4</v>
      </c>
      <c r="F26" s="8" t="n">
        <v>3</v>
      </c>
      <c r="G26" s="8" t="n">
        <v>5</v>
      </c>
      <c r="H26" s="8" t="n">
        <v>4</v>
      </c>
      <c r="I26" s="8" t="n">
        <v>3</v>
      </c>
      <c r="J26" s="8" t="n">
        <v>5</v>
      </c>
      <c r="K26" s="8" t="n">
        <v>2</v>
      </c>
      <c r="L26" s="8" t="n">
        <v>4</v>
      </c>
      <c r="M26" s="8" t="n">
        <v>5</v>
      </c>
      <c r="N26" s="8" t="n">
        <v>4</v>
      </c>
      <c r="O26" s="9" t="n">
        <f aca="false">SUM(C26:N26)</f>
        <v>48</v>
      </c>
      <c r="P26" s="10" t="n">
        <f aca="false">C26*C_Weights!$D$4+D26*C_Weights!$D$5+E26*C_Weights!$D$6+F26*C_Weights!$D$7+G26*C_Weights!$D$8+H26*C_Weights!$D$9+I26*C_Weights!$D$10+J26*C_Weights!$D$11+K26*C_Weights!$D$12+L26*C_Weights!$D$13+M26*C_Weights!$D$14+N26*C_Weights!$D$15</f>
        <v>48</v>
      </c>
      <c r="Q26" s="10" t="n">
        <f aca="false">C26*C_Weights!$E$4+D26*C_Weights!$E$5+E26*C_Weights!$E$6+F26*C_Weights!$E$7+G26*C_Weights!$E$8+H26*C_Weights!$E$9+I26*C_Weights!$E$10+J26*C_Weights!$E$11+K26*C_Weights!$E$12+L26*C_Weights!$E$13+M26*C_Weights!$E$14+N26*C_Weights!$E$15</f>
        <v>60.5</v>
      </c>
      <c r="R26" s="10" t="n">
        <f aca="false">C26*C_Weights!$F$4+D26*C_Weights!$F$5+E26*C_Weights!$F$6+F26*C_Weights!$F$7+G26*C_Weights!$F$8+H26*C_Weights!$F$9+I26*C_Weights!$F$10+J26*C_Weights!$F$11+K26*C_Weights!$F$12+L26*C_Weights!$F$13+M26*C_Weights!$F$14+N26*C_Weights!$F$15</f>
        <v>53.5</v>
      </c>
      <c r="S26" s="10" t="n">
        <f aca="false">C26*C_Weights!$G$4+D26*C_Weights!$G$5+E26*C_Weights!$G$6+F26*C_Weights!$G$7+G26*C_Weights!$G$8+H26*C_Weights!$G$9+I26*C_Weights!$G$10+J26*C_Weights!$G$11+K26*C_Weights!$G$12+L26*C_Weights!$G$13+M26*C_Weights!$G$14+N26*C_Weights!$G$15</f>
        <v>54.5</v>
      </c>
      <c r="T26" s="9" t="n">
        <f aca="false">RANK(O26,$O$4:$O$48)</f>
        <v>11</v>
      </c>
      <c r="U26" s="4" t="s">
        <v>748</v>
      </c>
      <c r="V26" s="9" t="n">
        <f aca="false">IF(U26="-",0,LEN(U26)-LEN(SUBSTITUTE(U26,",",""))+1)</f>
        <v>3</v>
      </c>
      <c r="W26" s="4" t="s">
        <v>699</v>
      </c>
      <c r="X26" s="11" t="s">
        <v>700</v>
      </c>
      <c r="Y26" s="11" t="s">
        <v>693</v>
      </c>
      <c r="Z26" s="11" t="s">
        <v>685</v>
      </c>
      <c r="AA26" s="4" t="s">
        <v>749</v>
      </c>
      <c r="AB26" s="4" t="str">
        <f aca="false">IF(AND(LEFT(Z26,1)="P",LEN(Z26)=3),Z26,A26)</f>
        <v>P01</v>
      </c>
    </row>
    <row r="27" customFormat="false" ht="23.85" hidden="false" customHeight="false" outlineLevel="0" collapsed="false">
      <c r="A27" s="4" t="s">
        <v>459</v>
      </c>
      <c r="B27" s="4" t="s">
        <v>460</v>
      </c>
      <c r="C27" s="8" t="n">
        <v>3</v>
      </c>
      <c r="D27" s="8" t="n">
        <v>4</v>
      </c>
      <c r="E27" s="8" t="n">
        <v>5</v>
      </c>
      <c r="F27" s="8" t="n">
        <v>4</v>
      </c>
      <c r="G27" s="8" t="n">
        <v>2</v>
      </c>
      <c r="H27" s="8" t="n">
        <v>4</v>
      </c>
      <c r="I27" s="8" t="n">
        <v>1</v>
      </c>
      <c r="J27" s="8" t="n">
        <v>1</v>
      </c>
      <c r="K27" s="8" t="n">
        <v>3</v>
      </c>
      <c r="L27" s="8" t="n">
        <v>3</v>
      </c>
      <c r="M27" s="8" t="n">
        <v>3</v>
      </c>
      <c r="N27" s="8" t="n">
        <v>3</v>
      </c>
      <c r="O27" s="9" t="n">
        <f aca="false">SUM(C27:N27)</f>
        <v>36</v>
      </c>
      <c r="P27" s="10" t="n">
        <f aca="false">C27*C_Weights!$D$4+D27*C_Weights!$D$5+E27*C_Weights!$D$6+F27*C_Weights!$D$7+G27*C_Weights!$D$8+H27*C_Weights!$D$9+I27*C_Weights!$D$10+J27*C_Weights!$D$11+K27*C_Weights!$D$12+L27*C_Weights!$D$13+M27*C_Weights!$D$14+N27*C_Weights!$D$15</f>
        <v>36</v>
      </c>
      <c r="Q27" s="10" t="n">
        <f aca="false">C27*C_Weights!$E$4+D27*C_Weights!$E$5+E27*C_Weights!$E$6+F27*C_Weights!$E$7+G27*C_Weights!$E$8+H27*C_Weights!$E$9+I27*C_Weights!$E$10+J27*C_Weights!$E$11+K27*C_Weights!$E$12+L27*C_Weights!$E$13+M27*C_Weights!$E$14+N27*C_Weights!$E$15</f>
        <v>43.5</v>
      </c>
      <c r="R27" s="10" t="n">
        <f aca="false">C27*C_Weights!$F$4+D27*C_Weights!$F$5+E27*C_Weights!$F$6+F27*C_Weights!$F$7+G27*C_Weights!$F$8+H27*C_Weights!$F$9+I27*C_Weights!$F$10+J27*C_Weights!$F$11+K27*C_Weights!$F$12+L27*C_Weights!$F$13+M27*C_Weights!$F$14+N27*C_Weights!$F$15</f>
        <v>43.5</v>
      </c>
      <c r="S27" s="10" t="n">
        <f aca="false">C27*C_Weights!$G$4+D27*C_Weights!$G$5+E27*C_Weights!$G$6+F27*C_Weights!$G$7+G27*C_Weights!$G$8+H27*C_Weights!$G$9+I27*C_Weights!$G$10+J27*C_Weights!$G$11+K27*C_Weights!$G$12+L27*C_Weights!$G$13+M27*C_Weights!$G$14+N27*C_Weights!$G$15</f>
        <v>40.5</v>
      </c>
      <c r="T27" s="9" t="n">
        <f aca="false">RANK(O27,$O$4:$O$48)</f>
        <v>30</v>
      </c>
      <c r="U27" s="4" t="s">
        <v>379</v>
      </c>
      <c r="V27" s="9" t="n">
        <f aca="false">IF(U27="-",0,LEN(U27)-LEN(SUBSTITUTE(U27,",",""))+1)</f>
        <v>0</v>
      </c>
      <c r="W27" s="4" t="s">
        <v>705</v>
      </c>
      <c r="X27" s="11" t="s">
        <v>692</v>
      </c>
      <c r="Y27" s="11" t="s">
        <v>693</v>
      </c>
      <c r="Z27" s="11" t="s">
        <v>750</v>
      </c>
      <c r="AA27" s="4" t="s">
        <v>751</v>
      </c>
      <c r="AB27" s="4" t="str">
        <f aca="false">IF(AND(LEFT(Z27,1)="P",LEN(Z27)=3),Z27,A27)</f>
        <v>P10</v>
      </c>
    </row>
    <row r="28" customFormat="false" ht="23.85" hidden="false" customHeight="false" outlineLevel="0" collapsed="false">
      <c r="A28" s="4" t="s">
        <v>467</v>
      </c>
      <c r="B28" s="4" t="s">
        <v>468</v>
      </c>
      <c r="C28" s="8" t="n">
        <v>2</v>
      </c>
      <c r="D28" s="8" t="n">
        <v>3</v>
      </c>
      <c r="E28" s="8" t="n">
        <v>2</v>
      </c>
      <c r="F28" s="8" t="n">
        <v>3</v>
      </c>
      <c r="G28" s="8" t="n">
        <v>2</v>
      </c>
      <c r="H28" s="8" t="n">
        <v>3</v>
      </c>
      <c r="I28" s="8" t="n">
        <v>1</v>
      </c>
      <c r="J28" s="8" t="n">
        <v>2</v>
      </c>
      <c r="K28" s="8" t="n">
        <v>1</v>
      </c>
      <c r="L28" s="8" t="n">
        <v>3</v>
      </c>
      <c r="M28" s="8" t="n">
        <v>3</v>
      </c>
      <c r="N28" s="8" t="n">
        <v>2</v>
      </c>
      <c r="O28" s="9" t="n">
        <f aca="false">SUM(C28:N28)</f>
        <v>27</v>
      </c>
      <c r="P28" s="10" t="n">
        <f aca="false">C28*C_Weights!$D$4+D28*C_Weights!$D$5+E28*C_Weights!$D$6+F28*C_Weights!$D$7+G28*C_Weights!$D$8+H28*C_Weights!$D$9+I28*C_Weights!$D$10+J28*C_Weights!$D$11+K28*C_Weights!$D$12+L28*C_Weights!$D$13+M28*C_Weights!$D$14+N28*C_Weights!$D$15</f>
        <v>27</v>
      </c>
      <c r="Q28" s="10" t="n">
        <f aca="false">C28*C_Weights!$E$4+D28*C_Weights!$E$5+E28*C_Weights!$E$6+F28*C_Weights!$E$7+G28*C_Weights!$E$8+H28*C_Weights!$E$9+I28*C_Weights!$E$10+J28*C_Weights!$E$11+K28*C_Weights!$E$12+L28*C_Weights!$E$13+M28*C_Weights!$E$14+N28*C_Weights!$E$15</f>
        <v>33</v>
      </c>
      <c r="R28" s="10" t="n">
        <f aca="false">C28*C_Weights!$F$4+D28*C_Weights!$F$5+E28*C_Weights!$F$6+F28*C_Weights!$F$7+G28*C_Weights!$F$8+H28*C_Weights!$F$9+I28*C_Weights!$F$10+J28*C_Weights!$F$11+K28*C_Weights!$F$12+L28*C_Weights!$F$13+M28*C_Weights!$F$14+N28*C_Weights!$F$15</f>
        <v>30.5</v>
      </c>
      <c r="S28" s="10" t="n">
        <f aca="false">C28*C_Weights!$G$4+D28*C_Weights!$G$5+E28*C_Weights!$G$6+F28*C_Weights!$G$7+G28*C_Weights!$G$8+H28*C_Weights!$G$9+I28*C_Weights!$G$10+J28*C_Weights!$G$11+K28*C_Weights!$G$12+L28*C_Weights!$G$13+M28*C_Weights!$G$14+N28*C_Weights!$G$15</f>
        <v>30.5</v>
      </c>
      <c r="T28" s="9" t="n">
        <f aca="false">RANK(O28,$O$4:$O$48)</f>
        <v>42</v>
      </c>
      <c r="U28" s="4" t="s">
        <v>379</v>
      </c>
      <c r="V28" s="9" t="n">
        <f aca="false">IF(U28="-",0,LEN(U28)-LEN(SUBSTITUTE(U28,",",""))+1)</f>
        <v>0</v>
      </c>
      <c r="W28" s="4" t="s">
        <v>742</v>
      </c>
      <c r="X28" s="11" t="s">
        <v>700</v>
      </c>
      <c r="Y28" s="11" t="s">
        <v>714</v>
      </c>
      <c r="Z28" s="11" t="s">
        <v>752</v>
      </c>
      <c r="AA28" s="4" t="s">
        <v>753</v>
      </c>
      <c r="AB28" s="4" t="str">
        <f aca="false">IF(AND(LEFT(Z28,1)="P",LEN(Z28)=3),Z28,A28)</f>
        <v>C25</v>
      </c>
    </row>
    <row r="29" customFormat="false" ht="23.85" hidden="false" customHeight="false" outlineLevel="0" collapsed="false">
      <c r="A29" s="4" t="s">
        <v>476</v>
      </c>
      <c r="B29" s="4" t="s">
        <v>477</v>
      </c>
      <c r="C29" s="8" t="n">
        <v>4</v>
      </c>
      <c r="D29" s="8" t="n">
        <v>5</v>
      </c>
      <c r="E29" s="8" t="n">
        <v>4</v>
      </c>
      <c r="F29" s="8" t="n">
        <v>3</v>
      </c>
      <c r="G29" s="8" t="n">
        <v>5</v>
      </c>
      <c r="H29" s="8" t="n">
        <v>3</v>
      </c>
      <c r="I29" s="8" t="n">
        <v>4</v>
      </c>
      <c r="J29" s="8" t="n">
        <v>4</v>
      </c>
      <c r="K29" s="8" t="n">
        <v>2</v>
      </c>
      <c r="L29" s="8" t="n">
        <v>5</v>
      </c>
      <c r="M29" s="8" t="n">
        <v>5</v>
      </c>
      <c r="N29" s="8" t="n">
        <v>4</v>
      </c>
      <c r="O29" s="9" t="n">
        <f aca="false">SUM(C29:N29)</f>
        <v>48</v>
      </c>
      <c r="P29" s="10" t="n">
        <f aca="false">C29*C_Weights!$D$4+D29*C_Weights!$D$5+E29*C_Weights!$D$6+F29*C_Weights!$D$7+G29*C_Weights!$D$8+H29*C_Weights!$D$9+I29*C_Weights!$D$10+J29*C_Weights!$D$11+K29*C_Weights!$D$12+L29*C_Weights!$D$13+M29*C_Weights!$D$14+N29*C_Weights!$D$15</f>
        <v>48</v>
      </c>
      <c r="Q29" s="10" t="n">
        <f aca="false">C29*C_Weights!$E$4+D29*C_Weights!$E$5+E29*C_Weights!$E$6+F29*C_Weights!$E$7+G29*C_Weights!$E$8+H29*C_Weights!$E$9+I29*C_Weights!$E$10+J29*C_Weights!$E$11+K29*C_Weights!$E$12+L29*C_Weights!$E$13+M29*C_Weights!$E$14+N29*C_Weights!$E$15</f>
        <v>60.5</v>
      </c>
      <c r="R29" s="10" t="n">
        <f aca="false">C29*C_Weights!$F$4+D29*C_Weights!$F$5+E29*C_Weights!$F$6+F29*C_Weights!$F$7+G29*C_Weights!$F$8+H29*C_Weights!$F$9+I29*C_Weights!$F$10+J29*C_Weights!$F$11+K29*C_Weights!$F$12+L29*C_Weights!$F$13+M29*C_Weights!$F$14+N29*C_Weights!$F$15</f>
        <v>53.5</v>
      </c>
      <c r="S29" s="10" t="n">
        <f aca="false">C29*C_Weights!$G$4+D29*C_Weights!$G$5+E29*C_Weights!$G$6+F29*C_Weights!$G$7+G29*C_Weights!$G$8+H29*C_Weights!$G$9+I29*C_Weights!$G$10+J29*C_Weights!$G$11+K29*C_Weights!$G$12+L29*C_Weights!$G$13+M29*C_Weights!$G$14+N29*C_Weights!$G$15</f>
        <v>54.5</v>
      </c>
      <c r="T29" s="9" t="n">
        <f aca="false">RANK(O29,$O$4:$O$48)</f>
        <v>11</v>
      </c>
      <c r="U29" s="4" t="s">
        <v>740</v>
      </c>
      <c r="V29" s="9" t="n">
        <f aca="false">IF(U29="-",0,LEN(U29)-LEN(SUBSTITUTE(U29,",",""))+1)</f>
        <v>1</v>
      </c>
      <c r="W29" s="4" t="s">
        <v>699</v>
      </c>
      <c r="X29" s="11" t="s">
        <v>700</v>
      </c>
      <c r="Y29" s="11" t="s">
        <v>693</v>
      </c>
      <c r="Z29" s="11" t="s">
        <v>706</v>
      </c>
      <c r="AA29" s="4" t="s">
        <v>754</v>
      </c>
      <c r="AB29" s="4" t="str">
        <f aca="false">IF(AND(LEFT(Z29,1)="P",LEN(Z29)=3),Z29,A29)</f>
        <v>P03</v>
      </c>
    </row>
    <row r="30" customFormat="false" ht="23.85" hidden="false" customHeight="false" outlineLevel="0" collapsed="false">
      <c r="A30" s="4" t="s">
        <v>484</v>
      </c>
      <c r="B30" s="4" t="s">
        <v>485</v>
      </c>
      <c r="C30" s="8" t="n">
        <v>3</v>
      </c>
      <c r="D30" s="8" t="n">
        <v>4</v>
      </c>
      <c r="E30" s="8" t="n">
        <v>3</v>
      </c>
      <c r="F30" s="8" t="n">
        <v>3</v>
      </c>
      <c r="G30" s="8" t="n">
        <v>3</v>
      </c>
      <c r="H30" s="8" t="n">
        <v>2</v>
      </c>
      <c r="I30" s="8" t="n">
        <v>3</v>
      </c>
      <c r="J30" s="8" t="n">
        <v>2</v>
      </c>
      <c r="K30" s="8" t="n">
        <v>2</v>
      </c>
      <c r="L30" s="8" t="n">
        <v>3</v>
      </c>
      <c r="M30" s="8" t="n">
        <v>4</v>
      </c>
      <c r="N30" s="8" t="n">
        <v>3</v>
      </c>
      <c r="O30" s="9" t="n">
        <f aca="false">SUM(C30:N30)</f>
        <v>35</v>
      </c>
      <c r="P30" s="10" t="n">
        <f aca="false">C30*C_Weights!$D$4+D30*C_Weights!$D$5+E30*C_Weights!$D$6+F30*C_Weights!$D$7+G30*C_Weights!$D$8+H30*C_Weights!$D$9+I30*C_Weights!$D$10+J30*C_Weights!$D$11+K30*C_Weights!$D$12+L30*C_Weights!$D$13+M30*C_Weights!$D$14+N30*C_Weights!$D$15</f>
        <v>35</v>
      </c>
      <c r="Q30" s="10" t="n">
        <f aca="false">C30*C_Weights!$E$4+D30*C_Weights!$E$5+E30*C_Weights!$E$6+F30*C_Weights!$E$7+G30*C_Weights!$E$8+H30*C_Weights!$E$9+I30*C_Weights!$E$10+J30*C_Weights!$E$11+K30*C_Weights!$E$12+L30*C_Weights!$E$13+M30*C_Weights!$E$14+N30*C_Weights!$E$15</f>
        <v>43.5</v>
      </c>
      <c r="R30" s="10" t="n">
        <f aca="false">C30*C_Weights!$F$4+D30*C_Weights!$F$5+E30*C_Weights!$F$6+F30*C_Weights!$F$7+G30*C_Weights!$F$8+H30*C_Weights!$F$9+I30*C_Weights!$F$10+J30*C_Weights!$F$11+K30*C_Weights!$F$12+L30*C_Weights!$F$13+M30*C_Weights!$F$14+N30*C_Weights!$F$15</f>
        <v>40</v>
      </c>
      <c r="S30" s="10" t="n">
        <f aca="false">C30*C_Weights!$G$4+D30*C_Weights!$G$5+E30*C_Weights!$G$6+F30*C_Weights!$G$7+G30*C_Weights!$G$8+H30*C_Weights!$G$9+I30*C_Weights!$G$10+J30*C_Weights!$G$11+K30*C_Weights!$G$12+L30*C_Weights!$G$13+M30*C_Weights!$G$14+N30*C_Weights!$G$15</f>
        <v>40</v>
      </c>
      <c r="T30" s="9" t="n">
        <f aca="false">RANK(O30,$O$4:$O$48)</f>
        <v>31</v>
      </c>
      <c r="U30" s="4" t="s">
        <v>719</v>
      </c>
      <c r="V30" s="9" t="n">
        <f aca="false">IF(U30="-",0,LEN(U30)-LEN(SUBSTITUTE(U30,",",""))+1)</f>
        <v>1</v>
      </c>
      <c r="W30" s="4" t="s">
        <v>699</v>
      </c>
      <c r="X30" s="11" t="s">
        <v>700</v>
      </c>
      <c r="Y30" s="11" t="s">
        <v>693</v>
      </c>
      <c r="Z30" s="11" t="s">
        <v>702</v>
      </c>
      <c r="AA30" s="4" t="s">
        <v>755</v>
      </c>
      <c r="AB30" s="4" t="str">
        <f aca="false">IF(AND(LEFT(Z30,1)="P",LEN(Z30)=3),Z30,A30)</f>
        <v>P04</v>
      </c>
    </row>
    <row r="31" customFormat="false" ht="23.85" hidden="false" customHeight="false" outlineLevel="0" collapsed="false">
      <c r="A31" s="4" t="s">
        <v>493</v>
      </c>
      <c r="B31" s="4" t="s">
        <v>494</v>
      </c>
      <c r="C31" s="8" t="n">
        <v>2</v>
      </c>
      <c r="D31" s="8" t="n">
        <v>3</v>
      </c>
      <c r="E31" s="8" t="n">
        <v>3</v>
      </c>
      <c r="F31" s="8" t="n">
        <v>3</v>
      </c>
      <c r="G31" s="8" t="n">
        <v>3</v>
      </c>
      <c r="H31" s="8" t="n">
        <v>4</v>
      </c>
      <c r="I31" s="8" t="n">
        <v>1</v>
      </c>
      <c r="J31" s="8" t="n">
        <v>1</v>
      </c>
      <c r="K31" s="8" t="n">
        <v>2</v>
      </c>
      <c r="L31" s="8" t="n">
        <v>1</v>
      </c>
      <c r="M31" s="8" t="n">
        <v>3</v>
      </c>
      <c r="N31" s="8" t="n">
        <v>2</v>
      </c>
      <c r="O31" s="9" t="n">
        <f aca="false">SUM(C31:N31)</f>
        <v>28</v>
      </c>
      <c r="P31" s="10" t="n">
        <f aca="false">C31*C_Weights!$D$4+D31*C_Weights!$D$5+E31*C_Weights!$D$6+F31*C_Weights!$D$7+G31*C_Weights!$D$8+H31*C_Weights!$D$9+I31*C_Weights!$D$10+J31*C_Weights!$D$11+K31*C_Weights!$D$12+L31*C_Weights!$D$13+M31*C_Weights!$D$14+N31*C_Weights!$D$15</f>
        <v>28</v>
      </c>
      <c r="Q31" s="10" t="n">
        <f aca="false">C31*C_Weights!$E$4+D31*C_Weights!$E$5+E31*C_Weights!$E$6+F31*C_Weights!$E$7+G31*C_Weights!$E$8+H31*C_Weights!$E$9+I31*C_Weights!$E$10+J31*C_Weights!$E$11+K31*C_Weights!$E$12+L31*C_Weights!$E$13+M31*C_Weights!$E$14+N31*C_Weights!$E$15</f>
        <v>35.5</v>
      </c>
      <c r="R31" s="10" t="n">
        <f aca="false">C31*C_Weights!$F$4+D31*C_Weights!$F$5+E31*C_Weights!$F$6+F31*C_Weights!$F$7+G31*C_Weights!$F$8+H31*C_Weights!$F$9+I31*C_Weights!$F$10+J31*C_Weights!$F$11+K31*C_Weights!$F$12+L31*C_Weights!$F$13+M31*C_Weights!$F$14+N31*C_Weights!$F$15</f>
        <v>33</v>
      </c>
      <c r="S31" s="10" t="n">
        <f aca="false">C31*C_Weights!$G$4+D31*C_Weights!$G$5+E31*C_Weights!$G$6+F31*C_Weights!$G$7+G31*C_Weights!$G$8+H31*C_Weights!$G$9+I31*C_Weights!$G$10+J31*C_Weights!$G$11+K31*C_Weights!$G$12+L31*C_Weights!$G$13+M31*C_Weights!$G$14+N31*C_Weights!$G$15</f>
        <v>31.5</v>
      </c>
      <c r="T31" s="9" t="n">
        <f aca="false">RANK(O31,$O$4:$O$48)</f>
        <v>39</v>
      </c>
      <c r="U31" s="4" t="s">
        <v>379</v>
      </c>
      <c r="V31" s="9" t="n">
        <f aca="false">IF(U31="-",0,LEN(U31)-LEN(SUBSTITUTE(U31,",",""))+1)</f>
        <v>0</v>
      </c>
      <c r="W31" s="4" t="s">
        <v>699</v>
      </c>
      <c r="X31" s="11" t="s">
        <v>700</v>
      </c>
      <c r="Y31" s="11" t="s">
        <v>714</v>
      </c>
      <c r="Z31" s="11" t="s">
        <v>756</v>
      </c>
      <c r="AA31" s="4" t="s">
        <v>757</v>
      </c>
      <c r="AB31" s="4" t="str">
        <f aca="false">IF(AND(LEFT(Z31,1)="P",LEN(Z31)=3),Z31,A31)</f>
        <v>C28</v>
      </c>
    </row>
    <row r="32" customFormat="false" ht="23.85" hidden="false" customHeight="false" outlineLevel="0" collapsed="false">
      <c r="A32" s="4" t="s">
        <v>501</v>
      </c>
      <c r="B32" s="4" t="s">
        <v>502</v>
      </c>
      <c r="C32" s="8" t="n">
        <v>3</v>
      </c>
      <c r="D32" s="8" t="n">
        <v>4</v>
      </c>
      <c r="E32" s="8" t="n">
        <v>5</v>
      </c>
      <c r="F32" s="8" t="n">
        <v>4</v>
      </c>
      <c r="G32" s="8" t="n">
        <v>3</v>
      </c>
      <c r="H32" s="8" t="n">
        <v>5</v>
      </c>
      <c r="I32" s="8" t="n">
        <v>1</v>
      </c>
      <c r="J32" s="8" t="n">
        <v>3</v>
      </c>
      <c r="K32" s="8" t="n">
        <v>3</v>
      </c>
      <c r="L32" s="8" t="n">
        <v>3</v>
      </c>
      <c r="M32" s="8" t="n">
        <v>5</v>
      </c>
      <c r="N32" s="8" t="n">
        <v>5</v>
      </c>
      <c r="O32" s="9" t="n">
        <f aca="false">SUM(C32:N32)</f>
        <v>44</v>
      </c>
      <c r="P32" s="10" t="n">
        <f aca="false">C32*C_Weights!$D$4+D32*C_Weights!$D$5+E32*C_Weights!$D$6+F32*C_Weights!$D$7+G32*C_Weights!$D$8+H32*C_Weights!$D$9+I32*C_Weights!$D$10+J32*C_Weights!$D$11+K32*C_Weights!$D$12+L32*C_Weights!$D$13+M32*C_Weights!$D$14+N32*C_Weights!$D$15</f>
        <v>44</v>
      </c>
      <c r="Q32" s="10" t="n">
        <f aca="false">C32*C_Weights!$E$4+D32*C_Weights!$E$5+E32*C_Weights!$E$6+F32*C_Weights!$E$7+G32*C_Weights!$E$8+H32*C_Weights!$E$9+I32*C_Weights!$E$10+J32*C_Weights!$E$11+K32*C_Weights!$E$12+L32*C_Weights!$E$13+M32*C_Weights!$E$14+N32*C_Weights!$E$15</f>
        <v>53</v>
      </c>
      <c r="R32" s="10" t="n">
        <f aca="false">C32*C_Weights!$F$4+D32*C_Weights!$F$5+E32*C_Weights!$F$6+F32*C_Weights!$F$7+G32*C_Weights!$F$8+H32*C_Weights!$F$9+I32*C_Weights!$F$10+J32*C_Weights!$F$11+K32*C_Weights!$F$12+L32*C_Weights!$F$13+M32*C_Weights!$F$14+N32*C_Weights!$F$15</f>
        <v>51.5</v>
      </c>
      <c r="S32" s="10" t="n">
        <f aca="false">C32*C_Weights!$G$4+D32*C_Weights!$G$5+E32*C_Weights!$G$6+F32*C_Weights!$G$7+G32*C_Weights!$G$8+H32*C_Weights!$G$9+I32*C_Weights!$G$10+J32*C_Weights!$G$11+K32*C_Weights!$G$12+L32*C_Weights!$G$13+M32*C_Weights!$G$14+N32*C_Weights!$G$15</f>
        <v>51.5</v>
      </c>
      <c r="T32" s="9" t="n">
        <f aca="false">RANK(O32,$O$4:$O$48)</f>
        <v>21</v>
      </c>
      <c r="U32" s="4" t="s">
        <v>695</v>
      </c>
      <c r="V32" s="9" t="n">
        <f aca="false">IF(U32="-",0,LEN(U32)-LEN(SUBSTITUTE(U32,",",""))+1)</f>
        <v>2</v>
      </c>
      <c r="W32" s="4" t="s">
        <v>758</v>
      </c>
      <c r="X32" s="11" t="s">
        <v>692</v>
      </c>
      <c r="Y32" s="11" t="s">
        <v>684</v>
      </c>
      <c r="Z32" s="11" t="s">
        <v>750</v>
      </c>
      <c r="AA32" s="4" t="s">
        <v>759</v>
      </c>
      <c r="AB32" s="4" t="str">
        <f aca="false">IF(AND(LEFT(Z32,1)="P",LEN(Z32)=3),Z32,A32)</f>
        <v>P10</v>
      </c>
    </row>
    <row r="33" customFormat="false" ht="23.85" hidden="false" customHeight="false" outlineLevel="0" collapsed="false">
      <c r="A33" s="4" t="s">
        <v>509</v>
      </c>
      <c r="B33" s="4" t="s">
        <v>510</v>
      </c>
      <c r="C33" s="8" t="n">
        <v>4</v>
      </c>
      <c r="D33" s="8" t="n">
        <v>5</v>
      </c>
      <c r="E33" s="8" t="n">
        <v>4</v>
      </c>
      <c r="F33" s="8" t="n">
        <v>4</v>
      </c>
      <c r="G33" s="8" t="n">
        <v>4</v>
      </c>
      <c r="H33" s="8" t="n">
        <v>3</v>
      </c>
      <c r="I33" s="8" t="n">
        <v>3</v>
      </c>
      <c r="J33" s="8" t="n">
        <v>4</v>
      </c>
      <c r="K33" s="8" t="n">
        <v>2</v>
      </c>
      <c r="L33" s="8" t="n">
        <v>5</v>
      </c>
      <c r="M33" s="8" t="n">
        <v>5</v>
      </c>
      <c r="N33" s="8" t="n">
        <v>4</v>
      </c>
      <c r="O33" s="9" t="n">
        <f aca="false">SUM(C33:N33)</f>
        <v>47</v>
      </c>
      <c r="P33" s="10" t="n">
        <f aca="false">C33*C_Weights!$D$4+D33*C_Weights!$D$5+E33*C_Weights!$D$6+F33*C_Weights!$D$7+G33*C_Weights!$D$8+H33*C_Weights!$D$9+I33*C_Weights!$D$10+J33*C_Weights!$D$11+K33*C_Weights!$D$12+L33*C_Weights!$D$13+M33*C_Weights!$D$14+N33*C_Weights!$D$15</f>
        <v>47</v>
      </c>
      <c r="Q33" s="10" t="n">
        <f aca="false">C33*C_Weights!$E$4+D33*C_Weights!$E$5+E33*C_Weights!$E$6+F33*C_Weights!$E$7+G33*C_Weights!$E$8+H33*C_Weights!$E$9+I33*C_Weights!$E$10+J33*C_Weights!$E$11+K33*C_Weights!$E$12+L33*C_Weights!$E$13+M33*C_Weights!$E$14+N33*C_Weights!$E$15</f>
        <v>58</v>
      </c>
      <c r="R33" s="10" t="n">
        <f aca="false">C33*C_Weights!$F$4+D33*C_Weights!$F$5+E33*C_Weights!$F$6+F33*C_Weights!$F$7+G33*C_Weights!$F$8+H33*C_Weights!$F$9+I33*C_Weights!$F$10+J33*C_Weights!$F$11+K33*C_Weights!$F$12+L33*C_Weights!$F$13+M33*C_Weights!$F$14+N33*C_Weights!$F$15</f>
        <v>53</v>
      </c>
      <c r="S33" s="10" t="n">
        <f aca="false">C33*C_Weights!$G$4+D33*C_Weights!$G$5+E33*C_Weights!$G$6+F33*C_Weights!$G$7+G33*C_Weights!$G$8+H33*C_Weights!$G$9+I33*C_Weights!$G$10+J33*C_Weights!$G$11+K33*C_Weights!$G$12+L33*C_Weights!$G$13+M33*C_Weights!$G$14+N33*C_Weights!$G$15</f>
        <v>53.5</v>
      </c>
      <c r="T33" s="9" t="n">
        <f aca="false">RANK(O33,$O$4:$O$48)</f>
        <v>15</v>
      </c>
      <c r="U33" s="4" t="s">
        <v>740</v>
      </c>
      <c r="V33" s="9" t="n">
        <f aca="false">IF(U33="-",0,LEN(U33)-LEN(SUBSTITUTE(U33,",",""))+1)</f>
        <v>1</v>
      </c>
      <c r="W33" s="4" t="s">
        <v>699</v>
      </c>
      <c r="X33" s="11" t="s">
        <v>700</v>
      </c>
      <c r="Y33" s="11" t="s">
        <v>693</v>
      </c>
      <c r="Z33" s="11" t="s">
        <v>685</v>
      </c>
      <c r="AA33" s="4" t="s">
        <v>760</v>
      </c>
      <c r="AB33" s="4" t="str">
        <f aca="false">IF(AND(LEFT(Z33,1)="P",LEN(Z33)=3),Z33,A33)</f>
        <v>P01</v>
      </c>
    </row>
    <row r="34" customFormat="false" ht="35.05" hidden="false" customHeight="false" outlineLevel="0" collapsed="false">
      <c r="A34" s="4" t="s">
        <v>516</v>
      </c>
      <c r="B34" s="4" t="s">
        <v>517</v>
      </c>
      <c r="C34" s="8" t="n">
        <v>4</v>
      </c>
      <c r="D34" s="8" t="n">
        <v>5</v>
      </c>
      <c r="E34" s="8" t="n">
        <v>2</v>
      </c>
      <c r="F34" s="8" t="n">
        <v>4</v>
      </c>
      <c r="G34" s="8" t="n">
        <v>5</v>
      </c>
      <c r="H34" s="8" t="n">
        <v>3</v>
      </c>
      <c r="I34" s="8" t="n">
        <v>5</v>
      </c>
      <c r="J34" s="8" t="n">
        <v>4</v>
      </c>
      <c r="K34" s="8" t="n">
        <v>2</v>
      </c>
      <c r="L34" s="8" t="n">
        <v>5</v>
      </c>
      <c r="M34" s="8" t="n">
        <v>5</v>
      </c>
      <c r="N34" s="8" t="n">
        <v>4</v>
      </c>
      <c r="O34" s="9" t="n">
        <f aca="false">SUM(C34:N34)</f>
        <v>48</v>
      </c>
      <c r="P34" s="10" t="n">
        <f aca="false">C34*C_Weights!$D$4+D34*C_Weights!$D$5+E34*C_Weights!$D$6+F34*C_Weights!$D$7+G34*C_Weights!$D$8+H34*C_Weights!$D$9+I34*C_Weights!$D$10+J34*C_Weights!$D$11+K34*C_Weights!$D$12+L34*C_Weights!$D$13+M34*C_Weights!$D$14+N34*C_Weights!$D$15</f>
        <v>48</v>
      </c>
      <c r="Q34" s="10" t="n">
        <f aca="false">C34*C_Weights!$E$4+D34*C_Weights!$E$5+E34*C_Weights!$E$6+F34*C_Weights!$E$7+G34*C_Weights!$E$8+H34*C_Weights!$E$9+I34*C_Weights!$E$10+J34*C_Weights!$E$11+K34*C_Weights!$E$12+L34*C_Weights!$E$13+M34*C_Weights!$E$14+N34*C_Weights!$E$15</f>
        <v>61</v>
      </c>
      <c r="R34" s="10" t="n">
        <f aca="false">C34*C_Weights!$F$4+D34*C_Weights!$F$5+E34*C_Weights!$F$6+F34*C_Weights!$F$7+G34*C_Weights!$F$8+H34*C_Weights!$F$9+I34*C_Weights!$F$10+J34*C_Weights!$F$11+K34*C_Weights!$F$12+L34*C_Weights!$F$13+M34*C_Weights!$F$14+N34*C_Weights!$F$15</f>
        <v>53</v>
      </c>
      <c r="S34" s="10" t="n">
        <f aca="false">C34*C_Weights!$G$4+D34*C_Weights!$G$5+E34*C_Weights!$G$6+F34*C_Weights!$G$7+G34*C_Weights!$G$8+H34*C_Weights!$G$9+I34*C_Weights!$G$10+J34*C_Weights!$G$11+K34*C_Weights!$G$12+L34*C_Weights!$G$13+M34*C_Weights!$G$14+N34*C_Weights!$G$15</f>
        <v>54.5</v>
      </c>
      <c r="T34" s="9" t="n">
        <f aca="false">RANK(O34,$O$4:$O$48)</f>
        <v>11</v>
      </c>
      <c r="U34" s="4" t="s">
        <v>761</v>
      </c>
      <c r="V34" s="9" t="n">
        <f aca="false">IF(U34="-",0,LEN(U34)-LEN(SUBSTITUTE(U34,",",""))+1)</f>
        <v>4</v>
      </c>
      <c r="W34" s="4" t="s">
        <v>699</v>
      </c>
      <c r="X34" s="11" t="s">
        <v>700</v>
      </c>
      <c r="Y34" s="11" t="s">
        <v>743</v>
      </c>
      <c r="Z34" s="11" t="s">
        <v>762</v>
      </c>
      <c r="AA34" s="4" t="s">
        <v>763</v>
      </c>
      <c r="AB34" s="4" t="str">
        <f aca="false">IF(AND(LEFT(Z34,1)="P",LEN(Z34)=3),Z34,A34)</f>
        <v>C31</v>
      </c>
    </row>
    <row r="35" customFormat="false" ht="23.85" hidden="false" customHeight="false" outlineLevel="0" collapsed="false">
      <c r="A35" s="4" t="s">
        <v>213</v>
      </c>
      <c r="B35" s="4" t="s">
        <v>524</v>
      </c>
      <c r="C35" s="8" t="n">
        <v>4</v>
      </c>
      <c r="D35" s="8" t="n">
        <v>5</v>
      </c>
      <c r="E35" s="8" t="n">
        <v>2</v>
      </c>
      <c r="F35" s="8" t="n">
        <v>3</v>
      </c>
      <c r="G35" s="8" t="n">
        <v>5</v>
      </c>
      <c r="H35" s="8" t="n">
        <v>4</v>
      </c>
      <c r="I35" s="8" t="n">
        <v>2</v>
      </c>
      <c r="J35" s="8" t="n">
        <v>3</v>
      </c>
      <c r="K35" s="8" t="n">
        <v>1</v>
      </c>
      <c r="L35" s="8" t="n">
        <v>3</v>
      </c>
      <c r="M35" s="8" t="n">
        <v>5</v>
      </c>
      <c r="N35" s="8" t="n">
        <v>3</v>
      </c>
      <c r="O35" s="9" t="n">
        <f aca="false">SUM(C35:N35)</f>
        <v>40</v>
      </c>
      <c r="P35" s="10" t="n">
        <f aca="false">C35*C_Weights!$D$4+D35*C_Weights!$D$5+E35*C_Weights!$D$6+F35*C_Weights!$D$7+G35*C_Weights!$D$8+H35*C_Weights!$D$9+I35*C_Weights!$D$10+J35*C_Weights!$D$11+K35*C_Weights!$D$12+L35*C_Weights!$D$13+M35*C_Weights!$D$14+N35*C_Weights!$D$15</f>
        <v>40</v>
      </c>
      <c r="Q35" s="10" t="n">
        <f aca="false">C35*C_Weights!$E$4+D35*C_Weights!$E$5+E35*C_Weights!$E$6+F35*C_Weights!$E$7+G35*C_Weights!$E$8+H35*C_Weights!$E$9+I35*C_Weights!$E$10+J35*C_Weights!$E$11+K35*C_Weights!$E$12+L35*C_Weights!$E$13+M35*C_Weights!$E$14+N35*C_Weights!$E$15</f>
        <v>52</v>
      </c>
      <c r="R35" s="10" t="n">
        <f aca="false">C35*C_Weights!$F$4+D35*C_Weights!$F$5+E35*C_Weights!$F$6+F35*C_Weights!$F$7+G35*C_Weights!$F$8+H35*C_Weights!$F$9+I35*C_Weights!$F$10+J35*C_Weights!$F$11+K35*C_Weights!$F$12+L35*C_Weights!$F$13+M35*C_Weights!$F$14+N35*C_Weights!$F$15</f>
        <v>43.5</v>
      </c>
      <c r="S35" s="10" t="n">
        <f aca="false">C35*C_Weights!$G$4+D35*C_Weights!$G$5+E35*C_Weights!$G$6+F35*C_Weights!$G$7+G35*C_Weights!$G$8+H35*C_Weights!$G$9+I35*C_Weights!$G$10+J35*C_Weights!$G$11+K35*C_Weights!$G$12+L35*C_Weights!$G$13+M35*C_Weights!$G$14+N35*C_Weights!$G$15</f>
        <v>45.5</v>
      </c>
      <c r="T35" s="9" t="n">
        <f aca="false">RANK(O35,$O$4:$O$48)</f>
        <v>25</v>
      </c>
      <c r="U35" s="4" t="s">
        <v>719</v>
      </c>
      <c r="V35" s="9" t="n">
        <f aca="false">IF(U35="-",0,LEN(U35)-LEN(SUBSTITUTE(U35,",",""))+1)</f>
        <v>1</v>
      </c>
      <c r="W35" s="4" t="s">
        <v>742</v>
      </c>
      <c r="X35" s="11" t="s">
        <v>700</v>
      </c>
      <c r="Y35" s="11" t="s">
        <v>693</v>
      </c>
      <c r="Z35" s="11" t="s">
        <v>720</v>
      </c>
      <c r="AA35" s="4" t="s">
        <v>764</v>
      </c>
      <c r="AB35" s="4" t="str">
        <f aca="false">IF(AND(LEFT(Z35,1)="P",LEN(Z35)=3),Z35,A35)</f>
        <v>P05</v>
      </c>
    </row>
    <row r="36" customFormat="false" ht="23.85" hidden="false" customHeight="false" outlineLevel="0" collapsed="false">
      <c r="A36" s="4" t="s">
        <v>532</v>
      </c>
      <c r="B36" s="4" t="s">
        <v>533</v>
      </c>
      <c r="C36" s="8" t="n">
        <v>2</v>
      </c>
      <c r="D36" s="8" t="n">
        <v>2</v>
      </c>
      <c r="E36" s="8" t="n">
        <v>4</v>
      </c>
      <c r="F36" s="8" t="n">
        <v>4</v>
      </c>
      <c r="G36" s="8" t="n">
        <v>2</v>
      </c>
      <c r="H36" s="8" t="n">
        <v>2</v>
      </c>
      <c r="I36" s="8" t="n">
        <v>1</v>
      </c>
      <c r="J36" s="8" t="n">
        <v>2</v>
      </c>
      <c r="K36" s="8" t="n">
        <v>3</v>
      </c>
      <c r="L36" s="8" t="n">
        <v>4</v>
      </c>
      <c r="M36" s="8" t="n">
        <v>3</v>
      </c>
      <c r="N36" s="8" t="n">
        <v>3</v>
      </c>
      <c r="O36" s="9" t="n">
        <f aca="false">SUM(C36:N36)</f>
        <v>32</v>
      </c>
      <c r="P36" s="10" t="n">
        <f aca="false">C36*C_Weights!$D$4+D36*C_Weights!$D$5+E36*C_Weights!$D$6+F36*C_Weights!$D$7+G36*C_Weights!$D$8+H36*C_Weights!$D$9+I36*C_Weights!$D$10+J36*C_Weights!$D$11+K36*C_Weights!$D$12+L36*C_Weights!$D$13+M36*C_Weights!$D$14+N36*C_Weights!$D$15</f>
        <v>32</v>
      </c>
      <c r="Q36" s="10" t="n">
        <f aca="false">C36*C_Weights!$E$4+D36*C_Weights!$E$5+E36*C_Weights!$E$6+F36*C_Weights!$E$7+G36*C_Weights!$E$8+H36*C_Weights!$E$9+I36*C_Weights!$E$10+J36*C_Weights!$E$11+K36*C_Weights!$E$12+L36*C_Weights!$E$13+M36*C_Weights!$E$14+N36*C_Weights!$E$15</f>
        <v>37.5</v>
      </c>
      <c r="R36" s="10" t="n">
        <f aca="false">C36*C_Weights!$F$4+D36*C_Weights!$F$5+E36*C_Weights!$F$6+F36*C_Weights!$F$7+G36*C_Weights!$F$8+H36*C_Weights!$F$9+I36*C_Weights!$F$10+J36*C_Weights!$F$11+K36*C_Weights!$F$12+L36*C_Weights!$F$13+M36*C_Weights!$F$14+N36*C_Weights!$F$15</f>
        <v>39</v>
      </c>
      <c r="S36" s="10" t="n">
        <f aca="false">C36*C_Weights!$G$4+D36*C_Weights!$G$5+E36*C_Weights!$G$6+F36*C_Weights!$G$7+G36*C_Weights!$G$8+H36*C_Weights!$G$9+I36*C_Weights!$G$10+J36*C_Weights!$G$11+K36*C_Weights!$G$12+L36*C_Weights!$G$13+M36*C_Weights!$G$14+N36*C_Weights!$G$15</f>
        <v>36.5</v>
      </c>
      <c r="T36" s="9" t="n">
        <f aca="false">RANK(O36,$O$4:$O$48)</f>
        <v>37</v>
      </c>
      <c r="U36" s="4" t="s">
        <v>379</v>
      </c>
      <c r="V36" s="9" t="n">
        <f aca="false">IF(U36="-",0,LEN(U36)-LEN(SUBSTITUTE(U36,",",""))+1)</f>
        <v>0</v>
      </c>
      <c r="W36" s="4" t="s">
        <v>691</v>
      </c>
      <c r="X36" s="11" t="s">
        <v>692</v>
      </c>
      <c r="Y36" s="11" t="s">
        <v>714</v>
      </c>
      <c r="Z36" s="11" t="s">
        <v>765</v>
      </c>
      <c r="AA36" s="4" t="s">
        <v>766</v>
      </c>
      <c r="AB36" s="4" t="str">
        <f aca="false">IF(AND(LEFT(Z36,1)="P",LEN(Z36)=3),Z36,A36)</f>
        <v>C33</v>
      </c>
    </row>
    <row r="37" customFormat="false" ht="15" hidden="false" customHeight="false" outlineLevel="0" collapsed="false">
      <c r="A37" s="4" t="s">
        <v>541</v>
      </c>
      <c r="B37" s="4" t="s">
        <v>542</v>
      </c>
      <c r="C37" s="8" t="n">
        <v>4</v>
      </c>
      <c r="D37" s="8" t="n">
        <v>5</v>
      </c>
      <c r="E37" s="8" t="n">
        <v>4</v>
      </c>
      <c r="F37" s="8" t="n">
        <v>3</v>
      </c>
      <c r="G37" s="8" t="n">
        <v>5</v>
      </c>
      <c r="H37" s="8" t="n">
        <v>3</v>
      </c>
      <c r="I37" s="8" t="n">
        <v>5</v>
      </c>
      <c r="J37" s="8" t="n">
        <v>5</v>
      </c>
      <c r="K37" s="8" t="n">
        <v>2</v>
      </c>
      <c r="L37" s="8" t="n">
        <v>5</v>
      </c>
      <c r="M37" s="8" t="n">
        <v>4</v>
      </c>
      <c r="N37" s="8" t="n">
        <v>4</v>
      </c>
      <c r="O37" s="9" t="n">
        <f aca="false">SUM(C37:N37)</f>
        <v>49</v>
      </c>
      <c r="P37" s="10" t="n">
        <f aca="false">C37*C_Weights!$D$4+D37*C_Weights!$D$5+E37*C_Weights!$D$6+F37*C_Weights!$D$7+G37*C_Weights!$D$8+H37*C_Weights!$D$9+I37*C_Weights!$D$10+J37*C_Weights!$D$11+K37*C_Weights!$D$12+L37*C_Weights!$D$13+M37*C_Weights!$D$14+N37*C_Weights!$D$15</f>
        <v>49</v>
      </c>
      <c r="Q37" s="10" t="n">
        <f aca="false">C37*C_Weights!$E$4+D37*C_Weights!$E$5+E37*C_Weights!$E$6+F37*C_Weights!$E$7+G37*C_Weights!$E$8+H37*C_Weights!$E$9+I37*C_Weights!$E$10+J37*C_Weights!$E$11+K37*C_Weights!$E$12+L37*C_Weights!$E$13+M37*C_Weights!$E$14+N37*C_Weights!$E$15</f>
        <v>62</v>
      </c>
      <c r="R37" s="10" t="n">
        <f aca="false">C37*C_Weights!$F$4+D37*C_Weights!$F$5+E37*C_Weights!$F$6+F37*C_Weights!$F$7+G37*C_Weights!$F$8+H37*C_Weights!$F$9+I37*C_Weights!$F$10+J37*C_Weights!$F$11+K37*C_Weights!$F$12+L37*C_Weights!$F$13+M37*C_Weights!$F$14+N37*C_Weights!$F$15</f>
        <v>54.5</v>
      </c>
      <c r="S37" s="10" t="n">
        <f aca="false">C37*C_Weights!$G$4+D37*C_Weights!$G$5+E37*C_Weights!$G$6+F37*C_Weights!$G$7+G37*C_Weights!$G$8+H37*C_Weights!$G$9+I37*C_Weights!$G$10+J37*C_Weights!$G$11+K37*C_Weights!$G$12+L37*C_Weights!$G$13+M37*C_Weights!$G$14+N37*C_Weights!$G$15</f>
        <v>55</v>
      </c>
      <c r="T37" s="9" t="n">
        <f aca="false">RANK(O37,$O$4:$O$48)</f>
        <v>10</v>
      </c>
      <c r="U37" s="4" t="s">
        <v>767</v>
      </c>
      <c r="V37" s="9" t="n">
        <f aca="false">IF(U37="-",0,LEN(U37)-LEN(SUBSTITUTE(U37,",",""))+1)</f>
        <v>3</v>
      </c>
      <c r="W37" s="4" t="s">
        <v>699</v>
      </c>
      <c r="X37" s="11" t="s">
        <v>700</v>
      </c>
      <c r="Y37" s="11" t="s">
        <v>693</v>
      </c>
      <c r="Z37" s="11" t="s">
        <v>688</v>
      </c>
      <c r="AA37" s="4" t="s">
        <v>768</v>
      </c>
      <c r="AB37" s="4" t="str">
        <f aca="false">IF(AND(LEFT(Z37,1)="P",LEN(Z37)=3),Z37,A37)</f>
        <v>P02</v>
      </c>
    </row>
    <row r="38" customFormat="false" ht="23.85" hidden="false" customHeight="false" outlineLevel="0" collapsed="false">
      <c r="A38" s="4" t="s">
        <v>547</v>
      </c>
      <c r="B38" s="4" t="s">
        <v>548</v>
      </c>
      <c r="C38" s="8" t="n">
        <v>4</v>
      </c>
      <c r="D38" s="8" t="n">
        <v>5</v>
      </c>
      <c r="E38" s="8" t="n">
        <v>4</v>
      </c>
      <c r="F38" s="8" t="n">
        <v>3</v>
      </c>
      <c r="G38" s="8" t="n">
        <v>4</v>
      </c>
      <c r="H38" s="8" t="n">
        <v>3</v>
      </c>
      <c r="I38" s="8" t="n">
        <v>4</v>
      </c>
      <c r="J38" s="8" t="n">
        <v>5</v>
      </c>
      <c r="K38" s="8" t="n">
        <v>2</v>
      </c>
      <c r="L38" s="8" t="n">
        <v>4</v>
      </c>
      <c r="M38" s="8" t="n">
        <v>4</v>
      </c>
      <c r="N38" s="8" t="n">
        <v>3</v>
      </c>
      <c r="O38" s="9" t="n">
        <f aca="false">SUM(C38:N38)</f>
        <v>45</v>
      </c>
      <c r="P38" s="10" t="n">
        <f aca="false">C38*C_Weights!$D$4+D38*C_Weights!$D$5+E38*C_Weights!$D$6+F38*C_Weights!$D$7+G38*C_Weights!$D$8+H38*C_Weights!$D$9+I38*C_Weights!$D$10+J38*C_Weights!$D$11+K38*C_Weights!$D$12+L38*C_Weights!$D$13+M38*C_Weights!$D$14+N38*C_Weights!$D$15</f>
        <v>45</v>
      </c>
      <c r="Q38" s="10" t="n">
        <f aca="false">C38*C_Weights!$E$4+D38*C_Weights!$E$5+E38*C_Weights!$E$6+F38*C_Weights!$E$7+G38*C_Weights!$E$8+H38*C_Weights!$E$9+I38*C_Weights!$E$10+J38*C_Weights!$E$11+K38*C_Weights!$E$12+L38*C_Weights!$E$13+M38*C_Weights!$E$14+N38*C_Weights!$E$15</f>
        <v>56.5</v>
      </c>
      <c r="R38" s="10" t="n">
        <f aca="false">C38*C_Weights!$F$4+D38*C_Weights!$F$5+E38*C_Weights!$F$6+F38*C_Weights!$F$7+G38*C_Weights!$F$8+H38*C_Weights!$F$9+I38*C_Weights!$F$10+J38*C_Weights!$F$11+K38*C_Weights!$F$12+L38*C_Weights!$F$13+M38*C_Weights!$F$14+N38*C_Weights!$F$15</f>
        <v>50.5</v>
      </c>
      <c r="S38" s="10" t="n">
        <f aca="false">C38*C_Weights!$G$4+D38*C_Weights!$G$5+E38*C_Weights!$G$6+F38*C_Weights!$G$7+G38*C_Weights!$G$8+H38*C_Weights!$G$9+I38*C_Weights!$G$10+J38*C_Weights!$G$11+K38*C_Weights!$G$12+L38*C_Weights!$G$13+M38*C_Weights!$G$14+N38*C_Weights!$G$15</f>
        <v>50</v>
      </c>
      <c r="T38" s="9" t="n">
        <f aca="false">RANK(O38,$O$4:$O$48)</f>
        <v>18</v>
      </c>
      <c r="U38" s="4" t="s">
        <v>769</v>
      </c>
      <c r="V38" s="9" t="n">
        <f aca="false">IF(U38="-",0,LEN(U38)-LEN(SUBSTITUTE(U38,",",""))+1)</f>
        <v>2</v>
      </c>
      <c r="W38" s="4" t="s">
        <v>699</v>
      </c>
      <c r="X38" s="11" t="s">
        <v>700</v>
      </c>
      <c r="Y38" s="11" t="s">
        <v>693</v>
      </c>
      <c r="Z38" s="11" t="s">
        <v>688</v>
      </c>
      <c r="AA38" s="4" t="s">
        <v>770</v>
      </c>
      <c r="AB38" s="4" t="str">
        <f aca="false">IF(AND(LEFT(Z38,1)="P",LEN(Z38)=3),Z38,A38)</f>
        <v>P02</v>
      </c>
    </row>
    <row r="39" customFormat="false" ht="23.85" hidden="false" customHeight="false" outlineLevel="0" collapsed="false">
      <c r="A39" s="4" t="s">
        <v>554</v>
      </c>
      <c r="B39" s="4" t="s">
        <v>555</v>
      </c>
      <c r="C39" s="8" t="n">
        <v>3</v>
      </c>
      <c r="D39" s="8" t="n">
        <v>3</v>
      </c>
      <c r="E39" s="8" t="n">
        <v>4</v>
      </c>
      <c r="F39" s="8" t="n">
        <v>4</v>
      </c>
      <c r="G39" s="8" t="n">
        <v>3</v>
      </c>
      <c r="H39" s="8" t="n">
        <v>2</v>
      </c>
      <c r="I39" s="8" t="n">
        <v>3</v>
      </c>
      <c r="J39" s="8" t="n">
        <v>2</v>
      </c>
      <c r="K39" s="8" t="n">
        <v>2</v>
      </c>
      <c r="L39" s="8" t="n">
        <v>3</v>
      </c>
      <c r="M39" s="8" t="n">
        <v>3</v>
      </c>
      <c r="N39" s="8" t="n">
        <v>3</v>
      </c>
      <c r="O39" s="9" t="n">
        <f aca="false">SUM(C39:N39)</f>
        <v>35</v>
      </c>
      <c r="P39" s="10" t="n">
        <f aca="false">C39*C_Weights!$D$4+D39*C_Weights!$D$5+E39*C_Weights!$D$6+F39*C_Weights!$D$7+G39*C_Weights!$D$8+H39*C_Weights!$D$9+I39*C_Weights!$D$10+J39*C_Weights!$D$11+K39*C_Weights!$D$12+L39*C_Weights!$D$13+M39*C_Weights!$D$14+N39*C_Weights!$D$15</f>
        <v>35</v>
      </c>
      <c r="Q39" s="10" t="n">
        <f aca="false">C39*C_Weights!$E$4+D39*C_Weights!$E$5+E39*C_Weights!$E$6+F39*C_Weights!$E$7+G39*C_Weights!$E$8+H39*C_Weights!$E$9+I39*C_Weights!$E$10+J39*C_Weights!$E$11+K39*C_Weights!$E$12+L39*C_Weights!$E$13+M39*C_Weights!$E$14+N39*C_Weights!$E$15</f>
        <v>43.5</v>
      </c>
      <c r="R39" s="10" t="n">
        <f aca="false">C39*C_Weights!$F$4+D39*C_Weights!$F$5+E39*C_Weights!$F$6+F39*C_Weights!$F$7+G39*C_Weights!$F$8+H39*C_Weights!$F$9+I39*C_Weights!$F$10+J39*C_Weights!$F$11+K39*C_Weights!$F$12+L39*C_Weights!$F$13+M39*C_Weights!$F$14+N39*C_Weights!$F$15</f>
        <v>41</v>
      </c>
      <c r="S39" s="10" t="n">
        <f aca="false">C39*C_Weights!$G$4+D39*C_Weights!$G$5+E39*C_Weights!$G$6+F39*C_Weights!$G$7+G39*C_Weights!$G$8+H39*C_Weights!$G$9+I39*C_Weights!$G$10+J39*C_Weights!$G$11+K39*C_Weights!$G$12+L39*C_Weights!$G$13+M39*C_Weights!$G$14+N39*C_Weights!$G$15</f>
        <v>39.5</v>
      </c>
      <c r="T39" s="9" t="n">
        <f aca="false">RANK(O39,$O$4:$O$48)</f>
        <v>31</v>
      </c>
      <c r="U39" s="4" t="s">
        <v>379</v>
      </c>
      <c r="V39" s="9" t="n">
        <f aca="false">IF(U39="-",0,LEN(U39)-LEN(SUBSTITUTE(U39,",",""))+1)</f>
        <v>0</v>
      </c>
      <c r="W39" s="4" t="s">
        <v>699</v>
      </c>
      <c r="X39" s="11" t="s">
        <v>700</v>
      </c>
      <c r="Y39" s="11" t="s">
        <v>693</v>
      </c>
      <c r="Z39" s="11" t="s">
        <v>706</v>
      </c>
      <c r="AA39" s="4" t="s">
        <v>771</v>
      </c>
      <c r="AB39" s="4" t="str">
        <f aca="false">IF(AND(LEFT(Z39,1)="P",LEN(Z39)=3),Z39,A39)</f>
        <v>P03</v>
      </c>
    </row>
    <row r="40" customFormat="false" ht="23.85" hidden="false" customHeight="false" outlineLevel="0" collapsed="false">
      <c r="A40" s="4" t="s">
        <v>560</v>
      </c>
      <c r="B40" s="4" t="s">
        <v>561</v>
      </c>
      <c r="C40" s="8" t="n">
        <v>1</v>
      </c>
      <c r="D40" s="8" t="n">
        <v>2</v>
      </c>
      <c r="E40" s="8" t="n">
        <v>3</v>
      </c>
      <c r="F40" s="8" t="n">
        <v>2</v>
      </c>
      <c r="G40" s="8" t="n">
        <v>1</v>
      </c>
      <c r="H40" s="8" t="n">
        <v>1</v>
      </c>
      <c r="I40" s="8" t="n">
        <v>1</v>
      </c>
      <c r="J40" s="8" t="n">
        <v>1</v>
      </c>
      <c r="K40" s="8" t="n">
        <v>1</v>
      </c>
      <c r="L40" s="8" t="n">
        <v>2</v>
      </c>
      <c r="M40" s="8" t="n">
        <v>2</v>
      </c>
      <c r="N40" s="8" t="n">
        <v>1</v>
      </c>
      <c r="O40" s="9" t="n">
        <f aca="false">SUM(C40:N40)</f>
        <v>18</v>
      </c>
      <c r="P40" s="10" t="n">
        <f aca="false">C40*C_Weights!$D$4+D40*C_Weights!$D$5+E40*C_Weights!$D$6+F40*C_Weights!$D$7+G40*C_Weights!$D$8+H40*C_Weights!$D$9+I40*C_Weights!$D$10+J40*C_Weights!$D$11+K40*C_Weights!$D$12+L40*C_Weights!$D$13+M40*C_Weights!$D$14+N40*C_Weights!$D$15</f>
        <v>18</v>
      </c>
      <c r="Q40" s="10" t="n">
        <f aca="false">C40*C_Weights!$E$4+D40*C_Weights!$E$5+E40*C_Weights!$E$6+F40*C_Weights!$E$7+G40*C_Weights!$E$8+H40*C_Weights!$E$9+I40*C_Weights!$E$10+J40*C_Weights!$E$11+K40*C_Weights!$E$12+L40*C_Weights!$E$13+M40*C_Weights!$E$14+N40*C_Weights!$E$15</f>
        <v>21</v>
      </c>
      <c r="R40" s="10" t="n">
        <f aca="false">C40*C_Weights!$F$4+D40*C_Weights!$F$5+E40*C_Weights!$F$6+F40*C_Weights!$F$7+G40*C_Weights!$F$8+H40*C_Weights!$F$9+I40*C_Weights!$F$10+J40*C_Weights!$F$11+K40*C_Weights!$F$12+L40*C_Weights!$F$13+M40*C_Weights!$F$14+N40*C_Weights!$F$15</f>
        <v>21.5</v>
      </c>
      <c r="S40" s="10" t="n">
        <f aca="false">C40*C_Weights!$G$4+D40*C_Weights!$G$5+E40*C_Weights!$G$6+F40*C_Weights!$G$7+G40*C_Weights!$G$8+H40*C_Weights!$G$9+I40*C_Weights!$G$10+J40*C_Weights!$G$11+K40*C_Weights!$G$12+L40*C_Weights!$G$13+M40*C_Weights!$G$14+N40*C_Weights!$G$15</f>
        <v>20</v>
      </c>
      <c r="T40" s="9" t="n">
        <f aca="false">RANK(O40,$O$4:$O$48)</f>
        <v>45</v>
      </c>
      <c r="U40" s="4" t="s">
        <v>379</v>
      </c>
      <c r="V40" s="9" t="n">
        <f aca="false">IF(U40="-",0,LEN(U40)-LEN(SUBSTITUTE(U40,",",""))+1)</f>
        <v>0</v>
      </c>
      <c r="W40" s="4" t="s">
        <v>742</v>
      </c>
      <c r="X40" s="11" t="s">
        <v>692</v>
      </c>
      <c r="Y40" s="11" t="s">
        <v>714</v>
      </c>
      <c r="Z40" s="11" t="s">
        <v>772</v>
      </c>
      <c r="AA40" s="4" t="s">
        <v>773</v>
      </c>
      <c r="AB40" s="4" t="str">
        <f aca="false">IF(AND(LEFT(Z40,1)="P",LEN(Z40)=3),Z40,A40)</f>
        <v>C37</v>
      </c>
    </row>
    <row r="41" customFormat="false" ht="15" hidden="false" customHeight="false" outlineLevel="0" collapsed="false">
      <c r="A41" s="4" t="s">
        <v>566</v>
      </c>
      <c r="B41" s="4" t="s">
        <v>567</v>
      </c>
      <c r="C41" s="8" t="n">
        <v>1</v>
      </c>
      <c r="D41" s="8" t="n">
        <v>2</v>
      </c>
      <c r="E41" s="8" t="n">
        <v>2</v>
      </c>
      <c r="F41" s="8" t="n">
        <v>1</v>
      </c>
      <c r="G41" s="8" t="n">
        <v>2</v>
      </c>
      <c r="H41" s="8" t="n">
        <v>3</v>
      </c>
      <c r="I41" s="8" t="n">
        <v>1</v>
      </c>
      <c r="J41" s="8" t="n">
        <v>1</v>
      </c>
      <c r="K41" s="8" t="n">
        <v>1</v>
      </c>
      <c r="L41" s="8" t="n">
        <v>3</v>
      </c>
      <c r="M41" s="8" t="n">
        <v>2</v>
      </c>
      <c r="N41" s="8" t="n">
        <v>1</v>
      </c>
      <c r="O41" s="9" t="n">
        <f aca="false">SUM(C41:N41)</f>
        <v>20</v>
      </c>
      <c r="P41" s="10" t="n">
        <f aca="false">C41*C_Weights!$D$4+D41*C_Weights!$D$5+E41*C_Weights!$D$6+F41*C_Weights!$D$7+G41*C_Weights!$D$8+H41*C_Weights!$D$9+I41*C_Weights!$D$10+J41*C_Weights!$D$11+K41*C_Weights!$D$12+L41*C_Weights!$D$13+M41*C_Weights!$D$14+N41*C_Weights!$D$15</f>
        <v>20</v>
      </c>
      <c r="Q41" s="10" t="n">
        <f aca="false">C41*C_Weights!$E$4+D41*C_Weights!$E$5+E41*C_Weights!$E$6+F41*C_Weights!$E$7+G41*C_Weights!$E$8+H41*C_Weights!$E$9+I41*C_Weights!$E$10+J41*C_Weights!$E$11+K41*C_Weights!$E$12+L41*C_Weights!$E$13+M41*C_Weights!$E$14+N41*C_Weights!$E$15</f>
        <v>25</v>
      </c>
      <c r="R41" s="10" t="n">
        <f aca="false">C41*C_Weights!$F$4+D41*C_Weights!$F$5+E41*C_Weights!$F$6+F41*C_Weights!$F$7+G41*C_Weights!$F$8+H41*C_Weights!$F$9+I41*C_Weights!$F$10+J41*C_Weights!$F$11+K41*C_Weights!$F$12+L41*C_Weights!$F$13+M41*C_Weights!$F$14+N41*C_Weights!$F$15</f>
        <v>22.5</v>
      </c>
      <c r="S41" s="10" t="n">
        <f aca="false">C41*C_Weights!$G$4+D41*C_Weights!$G$5+E41*C_Weights!$G$6+F41*C_Weights!$G$7+G41*C_Weights!$G$8+H41*C_Weights!$G$9+I41*C_Weights!$G$10+J41*C_Weights!$G$11+K41*C_Weights!$G$12+L41*C_Weights!$G$13+M41*C_Weights!$G$14+N41*C_Weights!$G$15</f>
        <v>22</v>
      </c>
      <c r="T41" s="9" t="n">
        <f aca="false">RANK(O41,$O$4:$O$48)</f>
        <v>44</v>
      </c>
      <c r="U41" s="4" t="s">
        <v>379</v>
      </c>
      <c r="V41" s="9" t="n">
        <f aca="false">IF(U41="-",0,LEN(U41)-LEN(SUBSTITUTE(U41,",",""))+1)</f>
        <v>0</v>
      </c>
      <c r="W41" s="4" t="s">
        <v>742</v>
      </c>
      <c r="X41" s="11" t="s">
        <v>683</v>
      </c>
      <c r="Y41" s="11" t="s">
        <v>714</v>
      </c>
      <c r="Z41" s="11" t="s">
        <v>774</v>
      </c>
      <c r="AA41" s="4" t="s">
        <v>775</v>
      </c>
      <c r="AB41" s="4" t="str">
        <f aca="false">IF(AND(LEFT(Z41,1)="P",LEN(Z41)=3),Z41,A41)</f>
        <v>C38</v>
      </c>
    </row>
    <row r="42" customFormat="false" ht="15" hidden="false" customHeight="false" outlineLevel="0" collapsed="false">
      <c r="A42" s="4" t="s">
        <v>573</v>
      </c>
      <c r="B42" s="4" t="s">
        <v>574</v>
      </c>
      <c r="C42" s="8" t="n">
        <v>2</v>
      </c>
      <c r="D42" s="8" t="n">
        <v>3</v>
      </c>
      <c r="E42" s="8" t="n">
        <v>2</v>
      </c>
      <c r="F42" s="8" t="n">
        <v>3</v>
      </c>
      <c r="G42" s="8" t="n">
        <v>3</v>
      </c>
      <c r="H42" s="8" t="n">
        <v>2</v>
      </c>
      <c r="I42" s="8" t="n">
        <v>2</v>
      </c>
      <c r="J42" s="8" t="n">
        <v>2</v>
      </c>
      <c r="K42" s="8" t="n">
        <v>1</v>
      </c>
      <c r="L42" s="8" t="n">
        <v>2</v>
      </c>
      <c r="M42" s="8" t="n">
        <v>3</v>
      </c>
      <c r="N42" s="8" t="n">
        <v>2</v>
      </c>
      <c r="O42" s="9" t="n">
        <f aca="false">SUM(C42:N42)</f>
        <v>27</v>
      </c>
      <c r="P42" s="10" t="n">
        <f aca="false">C42*C_Weights!$D$4+D42*C_Weights!$D$5+E42*C_Weights!$D$6+F42*C_Weights!$D$7+G42*C_Weights!$D$8+H42*C_Weights!$D$9+I42*C_Weights!$D$10+J42*C_Weights!$D$11+K42*C_Weights!$D$12+L42*C_Weights!$D$13+M42*C_Weights!$D$14+N42*C_Weights!$D$15</f>
        <v>27</v>
      </c>
      <c r="Q42" s="10" t="n">
        <f aca="false">C42*C_Weights!$E$4+D42*C_Weights!$E$5+E42*C_Weights!$E$6+F42*C_Weights!$E$7+G42*C_Weights!$E$8+H42*C_Weights!$E$9+I42*C_Weights!$E$10+J42*C_Weights!$E$11+K42*C_Weights!$E$12+L42*C_Weights!$E$13+M42*C_Weights!$E$14+N42*C_Weights!$E$15</f>
        <v>34</v>
      </c>
      <c r="R42" s="10" t="n">
        <f aca="false">C42*C_Weights!$F$4+D42*C_Weights!$F$5+E42*C_Weights!$F$6+F42*C_Weights!$F$7+G42*C_Weights!$F$8+H42*C_Weights!$F$9+I42*C_Weights!$F$10+J42*C_Weights!$F$11+K42*C_Weights!$F$12+L42*C_Weights!$F$13+M42*C_Weights!$F$14+N42*C_Weights!$F$15</f>
        <v>30.5</v>
      </c>
      <c r="S42" s="10" t="n">
        <f aca="false">C42*C_Weights!$G$4+D42*C_Weights!$G$5+E42*C_Weights!$G$6+F42*C_Weights!$G$7+G42*C_Weights!$G$8+H42*C_Weights!$G$9+I42*C_Weights!$G$10+J42*C_Weights!$G$11+K42*C_Weights!$G$12+L42*C_Weights!$G$13+M42*C_Weights!$G$14+N42*C_Weights!$G$15</f>
        <v>30.5</v>
      </c>
      <c r="T42" s="9" t="n">
        <f aca="false">RANK(O42,$O$4:$O$48)</f>
        <v>42</v>
      </c>
      <c r="U42" s="4" t="s">
        <v>379</v>
      </c>
      <c r="V42" s="9" t="n">
        <f aca="false">IF(U42="-",0,LEN(U42)-LEN(SUBSTITUTE(U42,",",""))+1)</f>
        <v>0</v>
      </c>
      <c r="W42" s="4" t="s">
        <v>742</v>
      </c>
      <c r="X42" s="11" t="s">
        <v>683</v>
      </c>
      <c r="Y42" s="11" t="s">
        <v>714</v>
      </c>
      <c r="Z42" s="11" t="s">
        <v>776</v>
      </c>
      <c r="AA42" s="4" t="s">
        <v>777</v>
      </c>
      <c r="AB42" s="4" t="str">
        <f aca="false">IF(AND(LEFT(Z42,1)="P",LEN(Z42)=3),Z42,A42)</f>
        <v>C39</v>
      </c>
    </row>
    <row r="43" customFormat="false" ht="23.85" hidden="false" customHeight="false" outlineLevel="0" collapsed="false">
      <c r="A43" s="4" t="s">
        <v>581</v>
      </c>
      <c r="B43" s="4" t="s">
        <v>582</v>
      </c>
      <c r="C43" s="8" t="n">
        <v>3</v>
      </c>
      <c r="D43" s="8" t="n">
        <v>4</v>
      </c>
      <c r="E43" s="8" t="n">
        <v>3</v>
      </c>
      <c r="F43" s="8" t="n">
        <v>4</v>
      </c>
      <c r="G43" s="8" t="n">
        <v>3</v>
      </c>
      <c r="H43" s="8" t="n">
        <v>4</v>
      </c>
      <c r="I43" s="8" t="n">
        <v>2</v>
      </c>
      <c r="J43" s="8" t="n">
        <v>2</v>
      </c>
      <c r="K43" s="8" t="n">
        <v>4</v>
      </c>
      <c r="L43" s="8" t="n">
        <v>2</v>
      </c>
      <c r="M43" s="8" t="n">
        <v>5</v>
      </c>
      <c r="N43" s="8" t="n">
        <v>4</v>
      </c>
      <c r="O43" s="9" t="n">
        <f aca="false">SUM(C43:N43)</f>
        <v>40</v>
      </c>
      <c r="P43" s="10" t="n">
        <f aca="false">C43*C_Weights!$D$4+D43*C_Weights!$D$5+E43*C_Weights!$D$6+F43*C_Weights!$D$7+G43*C_Weights!$D$8+H43*C_Weights!$D$9+I43*C_Weights!$D$10+J43*C_Weights!$D$11+K43*C_Weights!$D$12+L43*C_Weights!$D$13+M43*C_Weights!$D$14+N43*C_Weights!$D$15</f>
        <v>40</v>
      </c>
      <c r="Q43" s="10" t="n">
        <f aca="false">C43*C_Weights!$E$4+D43*C_Weights!$E$5+E43*C_Weights!$E$6+F43*C_Weights!$E$7+G43*C_Weights!$E$8+H43*C_Weights!$E$9+I43*C_Weights!$E$10+J43*C_Weights!$E$11+K43*C_Weights!$E$12+L43*C_Weights!$E$13+M43*C_Weights!$E$14+N43*C_Weights!$E$15</f>
        <v>49</v>
      </c>
      <c r="R43" s="10" t="n">
        <f aca="false">C43*C_Weights!$F$4+D43*C_Weights!$F$5+E43*C_Weights!$F$6+F43*C_Weights!$F$7+G43*C_Weights!$F$8+H43*C_Weights!$F$9+I43*C_Weights!$F$10+J43*C_Weights!$F$11+K43*C_Weights!$F$12+L43*C_Weights!$F$13+M43*C_Weights!$F$14+N43*C_Weights!$F$15</f>
        <v>47.5</v>
      </c>
      <c r="S43" s="10" t="n">
        <f aca="false">C43*C_Weights!$G$4+D43*C_Weights!$G$5+E43*C_Weights!$G$6+F43*C_Weights!$G$7+G43*C_Weights!$G$8+H43*C_Weights!$G$9+I43*C_Weights!$G$10+J43*C_Weights!$G$11+K43*C_Weights!$G$12+L43*C_Weights!$G$13+M43*C_Weights!$G$14+N43*C_Weights!$G$15</f>
        <v>46.5</v>
      </c>
      <c r="T43" s="9" t="n">
        <f aca="false">RANK(O43,$O$4:$O$48)</f>
        <v>25</v>
      </c>
      <c r="U43" s="4" t="s">
        <v>778</v>
      </c>
      <c r="V43" s="9" t="n">
        <f aca="false">IF(U43="-",0,LEN(U43)-LEN(SUBSTITUTE(U43,",",""))+1)</f>
        <v>1</v>
      </c>
      <c r="W43" s="4" t="s">
        <v>779</v>
      </c>
      <c r="X43" s="11" t="s">
        <v>692</v>
      </c>
      <c r="Y43" s="11" t="s">
        <v>693</v>
      </c>
      <c r="Z43" s="11" t="s">
        <v>688</v>
      </c>
      <c r="AA43" s="4" t="s">
        <v>780</v>
      </c>
      <c r="AB43" s="4" t="str">
        <f aca="false">IF(AND(LEFT(Z43,1)="P",LEN(Z43)=3),Z43,A43)</f>
        <v>P02</v>
      </c>
    </row>
    <row r="44" customFormat="false" ht="23.85" hidden="false" customHeight="false" outlineLevel="0" collapsed="false">
      <c r="A44" s="4" t="s">
        <v>587</v>
      </c>
      <c r="B44" s="4" t="s">
        <v>588</v>
      </c>
      <c r="C44" s="8" t="n">
        <v>4</v>
      </c>
      <c r="D44" s="8" t="n">
        <v>4</v>
      </c>
      <c r="E44" s="8" t="n">
        <v>5</v>
      </c>
      <c r="F44" s="8" t="n">
        <v>4</v>
      </c>
      <c r="G44" s="8" t="n">
        <v>4</v>
      </c>
      <c r="H44" s="8" t="n">
        <v>4</v>
      </c>
      <c r="I44" s="8" t="n">
        <v>2</v>
      </c>
      <c r="J44" s="8" t="n">
        <v>3</v>
      </c>
      <c r="K44" s="8" t="n">
        <v>4</v>
      </c>
      <c r="L44" s="8" t="n">
        <v>4</v>
      </c>
      <c r="M44" s="8" t="n">
        <v>4</v>
      </c>
      <c r="N44" s="8" t="n">
        <v>3</v>
      </c>
      <c r="O44" s="9" t="n">
        <f aca="false">SUM(C44:N44)</f>
        <v>45</v>
      </c>
      <c r="P44" s="10" t="n">
        <f aca="false">C44*C_Weights!$D$4+D44*C_Weights!$D$5+E44*C_Weights!$D$6+F44*C_Weights!$D$7+G44*C_Weights!$D$8+H44*C_Weights!$D$9+I44*C_Weights!$D$10+J44*C_Weights!$D$11+K44*C_Weights!$D$12+L44*C_Weights!$D$13+M44*C_Weights!$D$14+N44*C_Weights!$D$15</f>
        <v>45</v>
      </c>
      <c r="Q44" s="10" t="n">
        <f aca="false">C44*C_Weights!$E$4+D44*C_Weights!$E$5+E44*C_Weights!$E$6+F44*C_Weights!$E$7+G44*C_Weights!$E$8+H44*C_Weights!$E$9+I44*C_Weights!$E$10+J44*C_Weights!$E$11+K44*C_Weights!$E$12+L44*C_Weights!$E$13+M44*C_Weights!$E$14+N44*C_Weights!$E$15</f>
        <v>56</v>
      </c>
      <c r="R44" s="10" t="n">
        <f aca="false">C44*C_Weights!$F$4+D44*C_Weights!$F$5+E44*C_Weights!$F$6+F44*C_Weights!$F$7+G44*C_Weights!$F$8+H44*C_Weights!$F$9+I44*C_Weights!$F$10+J44*C_Weights!$F$11+K44*C_Weights!$F$12+L44*C_Weights!$F$13+M44*C_Weights!$F$14+N44*C_Weights!$F$15</f>
        <v>53.5</v>
      </c>
      <c r="S44" s="10" t="n">
        <f aca="false">C44*C_Weights!$G$4+D44*C_Weights!$G$5+E44*C_Weights!$G$6+F44*C_Weights!$G$7+G44*C_Weights!$G$8+H44*C_Weights!$G$9+I44*C_Weights!$G$10+J44*C_Weights!$G$11+K44*C_Weights!$G$12+L44*C_Weights!$G$13+M44*C_Weights!$G$14+N44*C_Weights!$G$15</f>
        <v>50</v>
      </c>
      <c r="T44" s="9" t="n">
        <f aca="false">RANK(O44,$O$4:$O$48)</f>
        <v>18</v>
      </c>
      <c r="U44" s="4" t="s">
        <v>698</v>
      </c>
      <c r="V44" s="9" t="n">
        <f aca="false">IF(U44="-",0,LEN(U44)-LEN(SUBSTITUTE(U44,",",""))+1)</f>
        <v>1</v>
      </c>
      <c r="W44" s="4" t="s">
        <v>781</v>
      </c>
      <c r="X44" s="11" t="s">
        <v>692</v>
      </c>
      <c r="Y44" s="11" t="s">
        <v>693</v>
      </c>
      <c r="Z44" s="11" t="s">
        <v>685</v>
      </c>
      <c r="AA44" s="4" t="s">
        <v>782</v>
      </c>
      <c r="AB44" s="4" t="str">
        <f aca="false">IF(AND(LEFT(Z44,1)="P",LEN(Z44)=3),Z44,A44)</f>
        <v>P01</v>
      </c>
    </row>
    <row r="45" customFormat="false" ht="15" hidden="false" customHeight="false" outlineLevel="0" collapsed="false">
      <c r="A45" s="4" t="s">
        <v>594</v>
      </c>
      <c r="B45" s="4" t="s">
        <v>595</v>
      </c>
      <c r="C45" s="8" t="n">
        <v>3</v>
      </c>
      <c r="D45" s="8" t="n">
        <v>4</v>
      </c>
      <c r="E45" s="8" t="n">
        <v>3</v>
      </c>
      <c r="F45" s="8" t="n">
        <v>3</v>
      </c>
      <c r="G45" s="8" t="n">
        <v>3</v>
      </c>
      <c r="H45" s="8" t="n">
        <v>4</v>
      </c>
      <c r="I45" s="8" t="n">
        <v>2</v>
      </c>
      <c r="J45" s="8" t="n">
        <v>3</v>
      </c>
      <c r="K45" s="8" t="n">
        <v>1</v>
      </c>
      <c r="L45" s="8" t="n">
        <v>2</v>
      </c>
      <c r="M45" s="8" t="n">
        <v>4</v>
      </c>
      <c r="N45" s="8" t="n">
        <v>3</v>
      </c>
      <c r="O45" s="9" t="n">
        <f aca="false">SUM(C45:N45)</f>
        <v>35</v>
      </c>
      <c r="P45" s="10" t="n">
        <f aca="false">C45*C_Weights!$D$4+D45*C_Weights!$D$5+E45*C_Weights!$D$6+F45*C_Weights!$D$7+G45*C_Weights!$D$8+H45*C_Weights!$D$9+I45*C_Weights!$D$10+J45*C_Weights!$D$11+K45*C_Weights!$D$12+L45*C_Weights!$D$13+M45*C_Weights!$D$14+N45*C_Weights!$D$15</f>
        <v>35</v>
      </c>
      <c r="Q45" s="10" t="n">
        <f aca="false">C45*C_Weights!$E$4+D45*C_Weights!$E$5+E45*C_Weights!$E$6+F45*C_Weights!$E$7+G45*C_Weights!$E$8+H45*C_Weights!$E$9+I45*C_Weights!$E$10+J45*C_Weights!$E$11+K45*C_Weights!$E$12+L45*C_Weights!$E$13+M45*C_Weights!$E$14+N45*C_Weights!$E$15</f>
        <v>44</v>
      </c>
      <c r="R45" s="10" t="n">
        <f aca="false">C45*C_Weights!$F$4+D45*C_Weights!$F$5+E45*C_Weights!$F$6+F45*C_Weights!$F$7+G45*C_Weights!$F$8+H45*C_Weights!$F$9+I45*C_Weights!$F$10+J45*C_Weights!$F$11+K45*C_Weights!$F$12+L45*C_Weights!$F$13+M45*C_Weights!$F$14+N45*C_Weights!$F$15</f>
        <v>39</v>
      </c>
      <c r="S45" s="10" t="n">
        <f aca="false">C45*C_Weights!$G$4+D45*C_Weights!$G$5+E45*C_Weights!$G$6+F45*C_Weights!$G$7+G45*C_Weights!$G$8+H45*C_Weights!$G$9+I45*C_Weights!$G$10+J45*C_Weights!$G$11+K45*C_Weights!$G$12+L45*C_Weights!$G$13+M45*C_Weights!$G$14+N45*C_Weights!$G$15</f>
        <v>40</v>
      </c>
      <c r="T45" s="9" t="n">
        <f aca="false">RANK(O45,$O$4:$O$48)</f>
        <v>31</v>
      </c>
      <c r="U45" s="4" t="s">
        <v>698</v>
      </c>
      <c r="V45" s="9" t="n">
        <f aca="false">IF(U45="-",0,LEN(U45)-LEN(SUBSTITUTE(U45,",",""))+1)</f>
        <v>1</v>
      </c>
      <c r="W45" s="4" t="s">
        <v>742</v>
      </c>
      <c r="X45" s="11" t="s">
        <v>700</v>
      </c>
      <c r="Y45" s="11" t="s">
        <v>693</v>
      </c>
      <c r="Z45" s="11" t="s">
        <v>750</v>
      </c>
      <c r="AA45" s="4" t="s">
        <v>783</v>
      </c>
      <c r="AB45" s="4" t="str">
        <f aca="false">IF(AND(LEFT(Z45,1)="P",LEN(Z45)=3),Z45,A45)</f>
        <v>P10</v>
      </c>
    </row>
    <row r="46" customFormat="false" ht="15" hidden="false" customHeight="false" outlineLevel="0" collapsed="false">
      <c r="A46" s="4" t="s">
        <v>599</v>
      </c>
      <c r="B46" s="4" t="s">
        <v>600</v>
      </c>
      <c r="C46" s="8" t="n">
        <v>2</v>
      </c>
      <c r="D46" s="8" t="n">
        <v>3</v>
      </c>
      <c r="E46" s="8" t="n">
        <v>3</v>
      </c>
      <c r="F46" s="8" t="n">
        <v>3</v>
      </c>
      <c r="G46" s="8" t="n">
        <v>2</v>
      </c>
      <c r="H46" s="8" t="n">
        <v>2</v>
      </c>
      <c r="I46" s="8" t="n">
        <v>2</v>
      </c>
      <c r="J46" s="8" t="n">
        <v>2</v>
      </c>
      <c r="K46" s="8" t="n">
        <v>1</v>
      </c>
      <c r="L46" s="8" t="n">
        <v>3</v>
      </c>
      <c r="M46" s="8" t="n">
        <v>3</v>
      </c>
      <c r="N46" s="8" t="n">
        <v>2</v>
      </c>
      <c r="O46" s="9" t="n">
        <f aca="false">SUM(C46:N46)</f>
        <v>28</v>
      </c>
      <c r="P46" s="10" t="n">
        <f aca="false">C46*C_Weights!$D$4+D46*C_Weights!$D$5+E46*C_Weights!$D$6+F46*C_Weights!$D$7+G46*C_Weights!$D$8+H46*C_Weights!$D$9+I46*C_Weights!$D$10+J46*C_Weights!$D$11+K46*C_Weights!$D$12+L46*C_Weights!$D$13+M46*C_Weights!$D$14+N46*C_Weights!$D$15</f>
        <v>28</v>
      </c>
      <c r="Q46" s="10" t="n">
        <f aca="false">C46*C_Weights!$E$4+D46*C_Weights!$E$5+E46*C_Weights!$E$6+F46*C_Weights!$E$7+G46*C_Weights!$E$8+H46*C_Weights!$E$9+I46*C_Weights!$E$10+J46*C_Weights!$E$11+K46*C_Weights!$E$12+L46*C_Weights!$E$13+M46*C_Weights!$E$14+N46*C_Weights!$E$15</f>
        <v>34</v>
      </c>
      <c r="R46" s="10" t="n">
        <f aca="false">C46*C_Weights!$F$4+D46*C_Weights!$F$5+E46*C_Weights!$F$6+F46*C_Weights!$F$7+G46*C_Weights!$F$8+H46*C_Weights!$F$9+I46*C_Weights!$F$10+J46*C_Weights!$F$11+K46*C_Weights!$F$12+L46*C_Weights!$F$13+M46*C_Weights!$F$14+N46*C_Weights!$F$15</f>
        <v>32</v>
      </c>
      <c r="S46" s="10" t="n">
        <f aca="false">C46*C_Weights!$G$4+D46*C_Weights!$G$5+E46*C_Weights!$G$6+F46*C_Weights!$G$7+G46*C_Weights!$G$8+H46*C_Weights!$G$9+I46*C_Weights!$G$10+J46*C_Weights!$G$11+K46*C_Weights!$G$12+L46*C_Weights!$G$13+M46*C_Weights!$G$14+N46*C_Weights!$G$15</f>
        <v>31.5</v>
      </c>
      <c r="T46" s="9" t="n">
        <f aca="false">RANK(O46,$O$4:$O$48)</f>
        <v>39</v>
      </c>
      <c r="U46" s="4" t="s">
        <v>379</v>
      </c>
      <c r="V46" s="9" t="n">
        <f aca="false">IF(U46="-",0,LEN(U46)-LEN(SUBSTITUTE(U46,",",""))+1)</f>
        <v>0</v>
      </c>
      <c r="W46" s="4" t="s">
        <v>742</v>
      </c>
      <c r="X46" s="11" t="s">
        <v>700</v>
      </c>
      <c r="Y46" s="11" t="s">
        <v>693</v>
      </c>
      <c r="Z46" s="11" t="s">
        <v>702</v>
      </c>
      <c r="AA46" s="4" t="s">
        <v>784</v>
      </c>
      <c r="AB46" s="4" t="str">
        <f aca="false">IF(AND(LEFT(Z46,1)="P",LEN(Z46)=3),Z46,A46)</f>
        <v>P04</v>
      </c>
    </row>
    <row r="47" customFormat="false" ht="23.85" hidden="false" customHeight="false" outlineLevel="0" collapsed="false">
      <c r="A47" s="4" t="s">
        <v>605</v>
      </c>
      <c r="B47" s="4" t="s">
        <v>606</v>
      </c>
      <c r="C47" s="8" t="n">
        <v>3</v>
      </c>
      <c r="D47" s="8" t="n">
        <v>4</v>
      </c>
      <c r="E47" s="8" t="n">
        <v>3</v>
      </c>
      <c r="F47" s="8" t="n">
        <v>4</v>
      </c>
      <c r="G47" s="8" t="n">
        <v>3</v>
      </c>
      <c r="H47" s="8" t="n">
        <v>4</v>
      </c>
      <c r="I47" s="8" t="n">
        <v>1</v>
      </c>
      <c r="J47" s="8" t="n">
        <v>1</v>
      </c>
      <c r="K47" s="8" t="n">
        <v>2</v>
      </c>
      <c r="L47" s="8" t="n">
        <v>1</v>
      </c>
      <c r="M47" s="8" t="n">
        <v>3</v>
      </c>
      <c r="N47" s="8" t="n">
        <v>3</v>
      </c>
      <c r="O47" s="9" t="n">
        <f aca="false">SUM(C47:N47)</f>
        <v>32</v>
      </c>
      <c r="P47" s="10" t="n">
        <f aca="false">C47*C_Weights!$D$4+D47*C_Weights!$D$5+E47*C_Weights!$D$6+F47*C_Weights!$D$7+G47*C_Weights!$D$8+H47*C_Weights!$D$9+I47*C_Weights!$D$10+J47*C_Weights!$D$11+K47*C_Weights!$D$12+L47*C_Weights!$D$13+M47*C_Weights!$D$14+N47*C_Weights!$D$15</f>
        <v>32</v>
      </c>
      <c r="Q47" s="10" t="n">
        <f aca="false">C47*C_Weights!$E$4+D47*C_Weights!$E$5+E47*C_Weights!$E$6+F47*C_Weights!$E$7+G47*C_Weights!$E$8+H47*C_Weights!$E$9+I47*C_Weights!$E$10+J47*C_Weights!$E$11+K47*C_Weights!$E$12+L47*C_Weights!$E$13+M47*C_Weights!$E$14+N47*C_Weights!$E$15</f>
        <v>40.5</v>
      </c>
      <c r="R47" s="10" t="n">
        <f aca="false">C47*C_Weights!$F$4+D47*C_Weights!$F$5+E47*C_Weights!$F$6+F47*C_Weights!$F$7+G47*C_Weights!$F$8+H47*C_Weights!$F$9+I47*C_Weights!$F$10+J47*C_Weights!$F$11+K47*C_Weights!$F$12+L47*C_Weights!$F$13+M47*C_Weights!$F$14+N47*C_Weights!$F$15</f>
        <v>37.5</v>
      </c>
      <c r="S47" s="10" t="n">
        <f aca="false">C47*C_Weights!$G$4+D47*C_Weights!$G$5+E47*C_Weights!$G$6+F47*C_Weights!$G$7+G47*C_Weights!$G$8+H47*C_Weights!$G$9+I47*C_Weights!$G$10+J47*C_Weights!$G$11+K47*C_Weights!$G$12+L47*C_Weights!$G$13+M47*C_Weights!$G$14+N47*C_Weights!$G$15</f>
        <v>36.5</v>
      </c>
      <c r="T47" s="9" t="n">
        <f aca="false">RANK(O47,$O$4:$O$48)</f>
        <v>37</v>
      </c>
      <c r="U47" s="4" t="s">
        <v>698</v>
      </c>
      <c r="V47" s="9" t="n">
        <f aca="false">IF(U47="-",0,LEN(U47)-LEN(SUBSTITUTE(U47,",",""))+1)</f>
        <v>1</v>
      </c>
      <c r="W47" s="4" t="s">
        <v>699</v>
      </c>
      <c r="X47" s="11" t="s">
        <v>700</v>
      </c>
      <c r="Y47" s="11" t="s">
        <v>693</v>
      </c>
      <c r="Z47" s="11" t="s">
        <v>696</v>
      </c>
      <c r="AA47" s="4" t="s">
        <v>785</v>
      </c>
      <c r="AB47" s="4" t="str">
        <f aca="false">IF(AND(LEFT(Z47,1)="P",LEN(Z47)=3),Z47,A47)</f>
        <v>P07</v>
      </c>
    </row>
    <row r="48" customFormat="false" ht="15" hidden="false" customHeight="false" outlineLevel="0" collapsed="false">
      <c r="A48" s="4" t="s">
        <v>613</v>
      </c>
      <c r="B48" s="4" t="s">
        <v>614</v>
      </c>
      <c r="C48" s="8" t="n">
        <v>4</v>
      </c>
      <c r="D48" s="8" t="n">
        <v>4</v>
      </c>
      <c r="E48" s="8" t="n">
        <v>3</v>
      </c>
      <c r="F48" s="8" t="n">
        <v>3</v>
      </c>
      <c r="G48" s="8" t="n">
        <v>4</v>
      </c>
      <c r="H48" s="8" t="n">
        <v>2</v>
      </c>
      <c r="I48" s="8" t="n">
        <v>5</v>
      </c>
      <c r="J48" s="8" t="n">
        <v>5</v>
      </c>
      <c r="K48" s="8" t="n">
        <v>2</v>
      </c>
      <c r="L48" s="8" t="n">
        <v>5</v>
      </c>
      <c r="M48" s="8" t="n">
        <v>3</v>
      </c>
      <c r="N48" s="8" t="n">
        <v>4</v>
      </c>
      <c r="O48" s="9" t="n">
        <f aca="false">SUM(C48:N48)</f>
        <v>44</v>
      </c>
      <c r="P48" s="10" t="n">
        <f aca="false">C48*C_Weights!$D$4+D48*C_Weights!$D$5+E48*C_Weights!$D$6+F48*C_Weights!$D$7+G48*C_Weights!$D$8+H48*C_Weights!$D$9+I48*C_Weights!$D$10+J48*C_Weights!$D$11+K48*C_Weights!$D$12+L48*C_Weights!$D$13+M48*C_Weights!$D$14+N48*C_Weights!$D$15</f>
        <v>44</v>
      </c>
      <c r="Q48" s="10" t="n">
        <f aca="false">C48*C_Weights!$E$4+D48*C_Weights!$E$5+E48*C_Weights!$E$6+F48*C_Weights!$E$7+G48*C_Weights!$E$8+H48*C_Weights!$E$9+I48*C_Weights!$E$10+J48*C_Weights!$E$11+K48*C_Weights!$E$12+L48*C_Weights!$E$13+M48*C_Weights!$E$14+N48*C_Weights!$E$15</f>
        <v>55.5</v>
      </c>
      <c r="R48" s="10" t="n">
        <f aca="false">C48*C_Weights!$F$4+D48*C_Weights!$F$5+E48*C_Weights!$F$6+F48*C_Weights!$F$7+G48*C_Weights!$F$8+H48*C_Weights!$F$9+I48*C_Weights!$F$10+J48*C_Weights!$F$11+K48*C_Weights!$F$12+L48*C_Weights!$F$13+M48*C_Weights!$F$14+N48*C_Weights!$F$15</f>
        <v>49</v>
      </c>
      <c r="S48" s="10" t="n">
        <f aca="false">C48*C_Weights!$G$4+D48*C_Weights!$G$5+E48*C_Weights!$G$6+F48*C_Weights!$G$7+G48*C_Weights!$G$8+H48*C_Weights!$G$9+I48*C_Weights!$G$10+J48*C_Weights!$G$11+K48*C_Weights!$G$12+L48*C_Weights!$G$13+M48*C_Weights!$G$14+N48*C_Weights!$G$15</f>
        <v>49.5</v>
      </c>
      <c r="T48" s="9" t="n">
        <f aca="false">RANK(O48,$O$4:$O$48)</f>
        <v>21</v>
      </c>
      <c r="U48" s="4" t="s">
        <v>786</v>
      </c>
      <c r="V48" s="9" t="n">
        <f aca="false">IF(U48="-",0,LEN(U48)-LEN(SUBSTITUTE(U48,",",""))+1)</f>
        <v>2</v>
      </c>
      <c r="W48" s="4" t="s">
        <v>699</v>
      </c>
      <c r="X48" s="11" t="s">
        <v>700</v>
      </c>
      <c r="Y48" s="11" t="s">
        <v>693</v>
      </c>
      <c r="Z48" s="11" t="s">
        <v>732</v>
      </c>
      <c r="AA48" s="4" t="s">
        <v>787</v>
      </c>
      <c r="AB48" s="4" t="str">
        <f aca="false">IF(AND(LEFT(Z48,1)="P",LEN(Z48)=3),Z48,A48)</f>
        <v>P09</v>
      </c>
    </row>
    <row r="50" customFormat="false" ht="15" hidden="false" customHeight="false" outlineLevel="0" collapsed="false">
      <c r="B50" s="12" t="s">
        <v>788</v>
      </c>
    </row>
    <row r="51" customFormat="false" ht="15" hidden="false" customHeight="false" outlineLevel="0" collapsed="false">
      <c r="B51" s="4" t="s">
        <v>684</v>
      </c>
      <c r="C51" s="9" t="n">
        <f aca="false">COUNTIF($Y$4:$Y$48,"Select")</f>
        <v>10</v>
      </c>
    </row>
    <row r="52" customFormat="false" ht="15" hidden="false" customHeight="false" outlineLevel="0" collapsed="false">
      <c r="B52" s="4" t="s">
        <v>693</v>
      </c>
      <c r="C52" s="9" t="n">
        <f aca="false">COUNTIF($Y$4:$Y$48,"Consolidate")</f>
        <v>24</v>
      </c>
    </row>
    <row r="53" customFormat="false" ht="15" hidden="false" customHeight="false" outlineLevel="0" collapsed="false">
      <c r="B53" s="4" t="s">
        <v>743</v>
      </c>
      <c r="C53" s="9" t="n">
        <f aca="false">COUNTIF($Y$4:$Y$48,"Consider")</f>
        <v>2</v>
      </c>
    </row>
    <row r="54" customFormat="false" ht="15" hidden="false" customHeight="false" outlineLevel="0" collapsed="false">
      <c r="B54" s="4" t="s">
        <v>714</v>
      </c>
      <c r="C54" s="9" t="n">
        <f aca="false">COUNTIF($Y$4:$Y$48,"Defer")</f>
        <v>9</v>
      </c>
    </row>
    <row r="55" customFormat="false" ht="35.05" hidden="false" customHeight="false" outlineLevel="0" collapsed="false">
      <c r="B55" s="13" t="s">
        <v>789</v>
      </c>
      <c r="C55" s="9" t="n">
        <f aca="false">COUNTIFS($V$4:$V$48,"&gt;0",$Y$4:$Y$48,"Consider")+COUNTIFS($V$4:$V$48,"&gt;0",$Y$4:$Y$48,"Defer")</f>
        <v>2</v>
      </c>
    </row>
  </sheetData>
  <conditionalFormatting sqref="C4:N48">
    <cfRule type="colorScale" priority="2">
      <colorScale>
        <cfvo type="num" val="1"/>
        <cfvo type="num" val="3"/>
        <cfvo type="num" val="5"/>
        <color rgb="FFF8F8F8"/>
        <color rgb="FFFFE699"/>
        <color rgb="FFF4B183"/>
      </colorScale>
    </cfRule>
  </conditionalFormatting>
  <conditionalFormatting sqref="Y4:Y48">
    <cfRule type="cellIs" priority="3" operator="equal" aboveAverage="0" equalAverage="0" bottom="0" percent="0" rank="0" text="" dxfId="0">
      <formula>"Select"</formula>
    </cfRule>
    <cfRule type="cellIs" priority="4" operator="equal" aboveAverage="0" equalAverage="0" bottom="0" percent="0" rank="0" text="" dxfId="1">
      <formula>"Consolidate"</formula>
    </cfRule>
    <cfRule type="cellIs" priority="5" operator="equal" aboveAverage="0" equalAverage="0" bottom="0" percent="0" rank="0" text="" dxfId="2">
      <formula>"Consider"</formula>
    </cfRule>
    <cfRule type="cellIs" priority="6" operator="equal" aboveAverage="0" equalAverage="0" bottom="0" percent="0" rank="0" text="" dxfId="3">
      <formula>"Defer"</formula>
    </cfRule>
  </conditionalFormatting>
  <dataValidations count="2">
    <dataValidation allowBlank="false" errorStyle="stop" operator="between" showDropDown="false" showErrorMessage="false" showInputMessage="false" sqref="Y4:Y48" type="list">
      <formula1>"Select,Consolidate,Consider,Defer"</formula1>
      <formula2>0</formula2>
    </dataValidation>
    <dataValidation allowBlank="false" errorStyle="stop" operator="between" showDropDown="false" showErrorMessage="false" showInputMessage="false" sqref="C4:N48"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12"/>
    <col collapsed="false" customWidth="true" hidden="false" outlineLevel="0" max="7" min="4" style="0" width="10"/>
    <col collapsed="false" customWidth="true" hidden="false" outlineLevel="0" max="11" min="8" style="0" width="8"/>
    <col collapsed="false" customWidth="true" hidden="false" outlineLevel="0" max="12" min="12" style="0" width="14"/>
    <col collapsed="false" customWidth="true" hidden="false" outlineLevel="0" max="13" min="13" style="0" width="10"/>
    <col collapsed="false" customWidth="true" hidden="false" outlineLevel="0" max="14" min="14" style="0" width="34"/>
  </cols>
  <sheetData>
    <row r="1" customFormat="false" ht="17.35" hidden="false" customHeight="false" outlineLevel="0" collapsed="false">
      <c r="A1" s="1" t="s">
        <v>790</v>
      </c>
    </row>
    <row r="2" customFormat="false" ht="15" hidden="false" customHeight="false" outlineLevel="0" collapsed="false">
      <c r="A2" s="2" t="s">
        <v>791</v>
      </c>
    </row>
    <row r="4" customFormat="false" ht="35.05" hidden="false" customHeight="false" outlineLevel="0" collapsed="false">
      <c r="A4" s="3" t="s">
        <v>792</v>
      </c>
      <c r="B4" s="3" t="s">
        <v>793</v>
      </c>
      <c r="C4" s="3" t="s">
        <v>794</v>
      </c>
      <c r="D4" s="3" t="s">
        <v>795</v>
      </c>
      <c r="E4" s="3" t="s">
        <v>796</v>
      </c>
      <c r="F4" s="3" t="s">
        <v>797</v>
      </c>
      <c r="G4" s="3" t="s">
        <v>798</v>
      </c>
      <c r="H4" s="3" t="s">
        <v>799</v>
      </c>
      <c r="I4" s="3" t="s">
        <v>800</v>
      </c>
      <c r="J4" s="3" t="s">
        <v>801</v>
      </c>
      <c r="K4" s="3" t="s">
        <v>802</v>
      </c>
      <c r="L4" s="3" t="s">
        <v>803</v>
      </c>
      <c r="M4" s="3" t="s">
        <v>804</v>
      </c>
      <c r="N4" s="3" t="s">
        <v>805</v>
      </c>
    </row>
    <row r="5" customFormat="false" ht="23.85" hidden="false" customHeight="false" outlineLevel="0" collapsed="false">
      <c r="A5" s="4" t="s">
        <v>685</v>
      </c>
      <c r="B5" s="4" t="s">
        <v>806</v>
      </c>
      <c r="C5" s="4" t="s">
        <v>807</v>
      </c>
      <c r="D5" s="10" t="n">
        <f aca="false">_xlfn.MAXIFS(C_Screening!$P$4:$P$48,C_Screening!$AB$4:$AB$48,A5)</f>
        <v>52</v>
      </c>
      <c r="E5" s="10" t="n">
        <f aca="false">_xlfn.MAXIFS(C_Screening!$Q$4:$Q$48,C_Screening!$AB$4:$AB$48,A5)</f>
        <v>64.5</v>
      </c>
      <c r="F5" s="10" t="n">
        <f aca="false">_xlfn.MAXIFS(C_Screening!$R$4:$R$48,C_Screening!$AB$4:$AB$48,A5)</f>
        <v>61.5</v>
      </c>
      <c r="G5" s="10" t="n">
        <f aca="false">_xlfn.MAXIFS(C_Screening!$S$4:$S$48,C_Screening!$AB$4:$AB$48,A5)</f>
        <v>59</v>
      </c>
      <c r="H5" s="9" t="n">
        <f aca="false">RANK(D5,D$5:D$25)</f>
        <v>4</v>
      </c>
      <c r="I5" s="9" t="n">
        <f aca="false">RANK(E5,E$5:E$25)</f>
        <v>6</v>
      </c>
      <c r="J5" s="9" t="n">
        <f aca="false">RANK(F5,F$5:F$25)</f>
        <v>2</v>
      </c>
      <c r="K5" s="9" t="n">
        <f aca="false">RANK(G5,G$5:G$25)</f>
        <v>4</v>
      </c>
      <c r="L5" s="4" t="str">
        <f aca="false">IF(MAX(H5:K5)&lt;=10,"Yes",IF(MIN(H5:K5)&lt;=10,"Sometimes","No"))</f>
        <v>Yes</v>
      </c>
      <c r="M5" s="4" t="s">
        <v>808</v>
      </c>
      <c r="N5" s="4" t="str">
        <f aca="false">IF(AND(M5="Yes",L5&lt;&gt;"Yes"),"Selected by judgement - see rationale",IF(AND(M5="No",L5&lt;&gt;"No"),"Scores support selection - explicit review",""))</f>
        <v/>
      </c>
    </row>
    <row r="6" customFormat="false" ht="23.85" hidden="false" customHeight="false" outlineLevel="0" collapsed="false">
      <c r="A6" s="4" t="s">
        <v>688</v>
      </c>
      <c r="B6" s="4" t="s">
        <v>809</v>
      </c>
      <c r="C6" s="4" t="s">
        <v>807</v>
      </c>
      <c r="D6" s="10" t="n">
        <f aca="false">_xlfn.MAXIFS(C_Screening!$P$4:$P$48,C_Screening!$AB$4:$AB$48,A6)</f>
        <v>56</v>
      </c>
      <c r="E6" s="10" t="n">
        <f aca="false">_xlfn.MAXIFS(C_Screening!$Q$4:$Q$48,C_Screening!$AB$4:$AB$48,A6)</f>
        <v>71</v>
      </c>
      <c r="F6" s="10" t="n">
        <f aca="false">_xlfn.MAXIFS(C_Screening!$R$4:$R$48,C_Screening!$AB$4:$AB$48,A6)</f>
        <v>64.5</v>
      </c>
      <c r="G6" s="10" t="n">
        <f aca="false">_xlfn.MAXIFS(C_Screening!$S$4:$S$48,C_Screening!$AB$4:$AB$48,A6)</f>
        <v>63</v>
      </c>
      <c r="H6" s="9" t="n">
        <f aca="false">RANK(D6,D$5:D$25)</f>
        <v>1</v>
      </c>
      <c r="I6" s="9" t="n">
        <f aca="false">RANK(E6,E$5:E$25)</f>
        <v>1</v>
      </c>
      <c r="J6" s="9" t="n">
        <f aca="false">RANK(F6,F$5:F$25)</f>
        <v>1</v>
      </c>
      <c r="K6" s="9" t="n">
        <f aca="false">RANK(G6,G$5:G$25)</f>
        <v>1</v>
      </c>
      <c r="L6" s="4" t="str">
        <f aca="false">IF(MAX(H6:K6)&lt;=10,"Yes",IF(MIN(H6:K6)&lt;=10,"Sometimes","No"))</f>
        <v>Yes</v>
      </c>
      <c r="M6" s="4" t="s">
        <v>808</v>
      </c>
      <c r="N6" s="4" t="str">
        <f aca="false">IF(AND(M6="Yes",L6&lt;&gt;"Yes"),"Selected by judgement - see rationale",IF(AND(M6="No",L6&lt;&gt;"No"),"Scores support selection - explicit review",""))</f>
        <v/>
      </c>
    </row>
    <row r="7" customFormat="false" ht="35.05" hidden="false" customHeight="false" outlineLevel="0" collapsed="false">
      <c r="A7" s="4" t="s">
        <v>706</v>
      </c>
      <c r="B7" s="4" t="s">
        <v>810</v>
      </c>
      <c r="C7" s="4" t="s">
        <v>807</v>
      </c>
      <c r="D7" s="10" t="n">
        <f aca="false">_xlfn.MAXIFS(C_Screening!$P$4:$P$48,C_Screening!$AB$4:$AB$48,A7)</f>
        <v>53</v>
      </c>
      <c r="E7" s="10" t="n">
        <f aca="false">_xlfn.MAXIFS(C_Screening!$Q$4:$Q$48,C_Screening!$AB$4:$AB$48,A7)</f>
        <v>67</v>
      </c>
      <c r="F7" s="10" t="n">
        <f aca="false">_xlfn.MAXIFS(C_Screening!$R$4:$R$48,C_Screening!$AB$4:$AB$48,A7)</f>
        <v>60.5</v>
      </c>
      <c r="G7" s="10" t="n">
        <f aca="false">_xlfn.MAXIFS(C_Screening!$S$4:$S$48,C_Screening!$AB$4:$AB$48,A7)</f>
        <v>60</v>
      </c>
      <c r="H7" s="9" t="n">
        <f aca="false">RANK(D7,D$5:D$25)</f>
        <v>2</v>
      </c>
      <c r="I7" s="9" t="n">
        <f aca="false">RANK(E7,E$5:E$25)</f>
        <v>2</v>
      </c>
      <c r="J7" s="9" t="n">
        <f aca="false">RANK(F7,F$5:F$25)</f>
        <v>3</v>
      </c>
      <c r="K7" s="9" t="n">
        <f aca="false">RANK(G7,G$5:G$25)</f>
        <v>3</v>
      </c>
      <c r="L7" s="4" t="str">
        <f aca="false">IF(MAX(H7:K7)&lt;=10,"Yes",IF(MIN(H7:K7)&lt;=10,"Sometimes","No"))</f>
        <v>Yes</v>
      </c>
      <c r="M7" s="4" t="s">
        <v>808</v>
      </c>
      <c r="N7" s="4" t="str">
        <f aca="false">IF(AND(M7="Yes",L7&lt;&gt;"Yes"),"Selected by judgement - see rationale",IF(AND(M7="No",L7&lt;&gt;"No"),"Scores support selection - explicit review",""))</f>
        <v/>
      </c>
    </row>
    <row r="8" customFormat="false" ht="23.85" hidden="false" customHeight="false" outlineLevel="0" collapsed="false">
      <c r="A8" s="4" t="s">
        <v>702</v>
      </c>
      <c r="B8" s="4" t="s">
        <v>811</v>
      </c>
      <c r="C8" s="4" t="s">
        <v>807</v>
      </c>
      <c r="D8" s="10" t="n">
        <f aca="false">_xlfn.MAXIFS(C_Screening!$P$4:$P$48,C_Screening!$AB$4:$AB$48,A8)</f>
        <v>51</v>
      </c>
      <c r="E8" s="10" t="n">
        <f aca="false">_xlfn.MAXIFS(C_Screening!$Q$4:$Q$48,C_Screening!$AB$4:$AB$48,A8)</f>
        <v>65</v>
      </c>
      <c r="F8" s="10" t="n">
        <f aca="false">_xlfn.MAXIFS(C_Screening!$R$4:$R$48,C_Screening!$AB$4:$AB$48,A8)</f>
        <v>57.5</v>
      </c>
      <c r="G8" s="10" t="n">
        <f aca="false">_xlfn.MAXIFS(C_Screening!$S$4:$S$48,C_Screening!$AB$4:$AB$48,A8)</f>
        <v>58.5</v>
      </c>
      <c r="H8" s="9" t="n">
        <f aca="false">RANK(D8,D$5:D$25)</f>
        <v>6</v>
      </c>
      <c r="I8" s="9" t="n">
        <f aca="false">RANK(E8,E$5:E$25)</f>
        <v>5</v>
      </c>
      <c r="J8" s="9" t="n">
        <f aca="false">RANK(F8,F$5:F$25)</f>
        <v>6</v>
      </c>
      <c r="K8" s="9" t="n">
        <f aca="false">RANK(G8,G$5:G$25)</f>
        <v>6</v>
      </c>
      <c r="L8" s="4" t="str">
        <f aca="false">IF(MAX(H8:K8)&lt;=10,"Yes",IF(MIN(H8:K8)&lt;=10,"Sometimes","No"))</f>
        <v>Yes</v>
      </c>
      <c r="M8" s="4" t="s">
        <v>808</v>
      </c>
      <c r="N8" s="4" t="str">
        <f aca="false">IF(AND(M8="Yes",L8&lt;&gt;"Yes"),"Selected by judgement - see rationale",IF(AND(M8="No",L8&lt;&gt;"No"),"Scores support selection - explicit review",""))</f>
        <v/>
      </c>
    </row>
    <row r="9" customFormat="false" ht="23.85" hidden="false" customHeight="false" outlineLevel="0" collapsed="false">
      <c r="A9" s="4" t="s">
        <v>720</v>
      </c>
      <c r="B9" s="4" t="s">
        <v>812</v>
      </c>
      <c r="C9" s="4" t="s">
        <v>807</v>
      </c>
      <c r="D9" s="10" t="n">
        <f aca="false">_xlfn.MAXIFS(C_Screening!$P$4:$P$48,C_Screening!$AB$4:$AB$48,A9)</f>
        <v>45</v>
      </c>
      <c r="E9" s="10" t="n">
        <f aca="false">_xlfn.MAXIFS(C_Screening!$Q$4:$Q$48,C_Screening!$AB$4:$AB$48,A9)</f>
        <v>59</v>
      </c>
      <c r="F9" s="10" t="n">
        <f aca="false">_xlfn.MAXIFS(C_Screening!$R$4:$R$48,C_Screening!$AB$4:$AB$48,A9)</f>
        <v>49.5</v>
      </c>
      <c r="G9" s="10" t="n">
        <f aca="false">_xlfn.MAXIFS(C_Screening!$S$4:$S$48,C_Screening!$AB$4:$AB$48,A9)</f>
        <v>51.5</v>
      </c>
      <c r="H9" s="9" t="n">
        <f aca="false">RANK(D9,D$5:D$25)</f>
        <v>10</v>
      </c>
      <c r="I9" s="9" t="n">
        <f aca="false">RANK(E9,E$5:E$25)</f>
        <v>8</v>
      </c>
      <c r="J9" s="9" t="n">
        <f aca="false">RANK(F9,F$5:F$25)</f>
        <v>11</v>
      </c>
      <c r="K9" s="9" t="n">
        <f aca="false">RANK(G9,G$5:G$25)</f>
        <v>10</v>
      </c>
      <c r="L9" s="4" t="str">
        <f aca="false">IF(MAX(H9:K9)&lt;=10,"Yes",IF(MIN(H9:K9)&lt;=10,"Sometimes","No"))</f>
        <v>Sometimes</v>
      </c>
      <c r="M9" s="4" t="s">
        <v>808</v>
      </c>
      <c r="N9" s="4" t="str">
        <f aca="false">IF(AND(M9="Yes",L9&lt;&gt;"Yes"),"Selected by judgement - see rationale",IF(AND(M9="No",L9&lt;&gt;"No"),"Scores support selection - explicit review",""))</f>
        <v>Selected by judgement - see rationale</v>
      </c>
    </row>
    <row r="10" customFormat="false" ht="23.85" hidden="false" customHeight="false" outlineLevel="0" collapsed="false">
      <c r="A10" s="4" t="s">
        <v>717</v>
      </c>
      <c r="B10" s="4" t="s">
        <v>813</v>
      </c>
      <c r="C10" s="4" t="s">
        <v>807</v>
      </c>
      <c r="D10" s="10" t="n">
        <f aca="false">_xlfn.MAXIFS(C_Screening!$P$4:$P$48,C_Screening!$AB$4:$AB$48,A10)</f>
        <v>46</v>
      </c>
      <c r="E10" s="10" t="n">
        <f aca="false">_xlfn.MAXIFS(C_Screening!$Q$4:$Q$48,C_Screening!$AB$4:$AB$48,A10)</f>
        <v>57</v>
      </c>
      <c r="F10" s="10" t="n">
        <f aca="false">_xlfn.MAXIFS(C_Screening!$R$4:$R$48,C_Screening!$AB$4:$AB$48,A10)</f>
        <v>55</v>
      </c>
      <c r="G10" s="10" t="n">
        <f aca="false">_xlfn.MAXIFS(C_Screening!$S$4:$S$48,C_Screening!$AB$4:$AB$48,A10)</f>
        <v>52</v>
      </c>
      <c r="H10" s="9" t="n">
        <f aca="false">RANK(D10,D$5:D$25)</f>
        <v>9</v>
      </c>
      <c r="I10" s="9" t="n">
        <f aca="false">RANK(E10,E$5:E$25)</f>
        <v>10</v>
      </c>
      <c r="J10" s="9" t="n">
        <f aca="false">RANK(F10,F$5:F$25)</f>
        <v>7</v>
      </c>
      <c r="K10" s="9" t="n">
        <f aca="false">RANK(G10,G$5:G$25)</f>
        <v>9</v>
      </c>
      <c r="L10" s="4" t="str">
        <f aca="false">IF(MAX(H10:K10)&lt;=10,"Yes",IF(MIN(H10:K10)&lt;=10,"Sometimes","No"))</f>
        <v>Yes</v>
      </c>
      <c r="M10" s="4" t="s">
        <v>808</v>
      </c>
      <c r="N10" s="4" t="str">
        <f aca="false">IF(AND(M10="Yes",L10&lt;&gt;"Yes"),"Selected by judgement - see rationale",IF(AND(M10="No",L10&lt;&gt;"No"),"Scores support selection - explicit review",""))</f>
        <v/>
      </c>
    </row>
    <row r="11" customFormat="false" ht="23.85" hidden="false" customHeight="false" outlineLevel="0" collapsed="false">
      <c r="A11" s="4" t="s">
        <v>696</v>
      </c>
      <c r="B11" s="4" t="s">
        <v>814</v>
      </c>
      <c r="C11" s="4" t="s">
        <v>807</v>
      </c>
      <c r="D11" s="10" t="n">
        <f aca="false">_xlfn.MAXIFS(C_Screening!$P$4:$P$48,C_Screening!$AB$4:$AB$48,A11)</f>
        <v>47</v>
      </c>
      <c r="E11" s="10" t="n">
        <f aca="false">_xlfn.MAXIFS(C_Screening!$Q$4:$Q$48,C_Screening!$AB$4:$AB$48,A11)</f>
        <v>58.5</v>
      </c>
      <c r="F11" s="10" t="n">
        <f aca="false">_xlfn.MAXIFS(C_Screening!$R$4:$R$48,C_Screening!$AB$4:$AB$48,A11)</f>
        <v>55</v>
      </c>
      <c r="G11" s="10" t="n">
        <f aca="false">_xlfn.MAXIFS(C_Screening!$S$4:$S$48,C_Screening!$AB$4:$AB$48,A11)</f>
        <v>53</v>
      </c>
      <c r="H11" s="9" t="n">
        <f aca="false">RANK(D11,D$5:D$25)</f>
        <v>8</v>
      </c>
      <c r="I11" s="9" t="n">
        <f aca="false">RANK(E11,E$5:E$25)</f>
        <v>9</v>
      </c>
      <c r="J11" s="9" t="n">
        <f aca="false">RANK(F11,F$5:F$25)</f>
        <v>7</v>
      </c>
      <c r="K11" s="9" t="n">
        <f aca="false">RANK(G11,G$5:G$25)</f>
        <v>8</v>
      </c>
      <c r="L11" s="4" t="str">
        <f aca="false">IF(MAX(H11:K11)&lt;=10,"Yes",IF(MIN(H11:K11)&lt;=10,"Sometimes","No"))</f>
        <v>Yes</v>
      </c>
      <c r="M11" s="4" t="s">
        <v>808</v>
      </c>
      <c r="N11" s="4" t="str">
        <f aca="false">IF(AND(M11="Yes",L11&lt;&gt;"Yes"),"Selected by judgement - see rationale",IF(AND(M11="No",L11&lt;&gt;"No"),"Scores support selection - explicit review",""))</f>
        <v/>
      </c>
    </row>
    <row r="12" customFormat="false" ht="23.85" hidden="false" customHeight="false" outlineLevel="0" collapsed="false">
      <c r="A12" s="4" t="s">
        <v>723</v>
      </c>
      <c r="B12" s="4" t="s">
        <v>815</v>
      </c>
      <c r="C12" s="4" t="s">
        <v>807</v>
      </c>
      <c r="D12" s="10" t="n">
        <f aca="false">_xlfn.MAXIFS(C_Screening!$P$4:$P$48,C_Screening!$AB$4:$AB$48,A12)</f>
        <v>53</v>
      </c>
      <c r="E12" s="10" t="n">
        <f aca="false">_xlfn.MAXIFS(C_Screening!$Q$4:$Q$48,C_Screening!$AB$4:$AB$48,A12)</f>
        <v>67</v>
      </c>
      <c r="F12" s="10" t="n">
        <f aca="false">_xlfn.MAXIFS(C_Screening!$R$4:$R$48,C_Screening!$AB$4:$AB$48,A12)</f>
        <v>60</v>
      </c>
      <c r="G12" s="10" t="n">
        <f aca="false">_xlfn.MAXIFS(C_Screening!$S$4:$S$48,C_Screening!$AB$4:$AB$48,A12)</f>
        <v>60.5</v>
      </c>
      <c r="H12" s="9" t="n">
        <f aca="false">RANK(D12,D$5:D$25)</f>
        <v>2</v>
      </c>
      <c r="I12" s="9" t="n">
        <f aca="false">RANK(E12,E$5:E$25)</f>
        <v>2</v>
      </c>
      <c r="J12" s="9" t="n">
        <f aca="false">RANK(F12,F$5:F$25)</f>
        <v>4</v>
      </c>
      <c r="K12" s="9" t="n">
        <f aca="false">RANK(G12,G$5:G$25)</f>
        <v>2</v>
      </c>
      <c r="L12" s="4" t="str">
        <f aca="false">IF(MAX(H12:K12)&lt;=10,"Yes",IF(MIN(H12:K12)&lt;=10,"Sometimes","No"))</f>
        <v>Yes</v>
      </c>
      <c r="M12" s="4" t="s">
        <v>808</v>
      </c>
      <c r="N12" s="4" t="str">
        <f aca="false">IF(AND(M12="Yes",L12&lt;&gt;"Yes"),"Selected by judgement - see rationale",IF(AND(M12="No",L12&lt;&gt;"No"),"Scores support selection - explicit review",""))</f>
        <v/>
      </c>
    </row>
    <row r="13" customFormat="false" ht="23.85" hidden="false" customHeight="false" outlineLevel="0" collapsed="false">
      <c r="A13" s="4" t="s">
        <v>732</v>
      </c>
      <c r="B13" s="4" t="s">
        <v>816</v>
      </c>
      <c r="C13" s="4" t="s">
        <v>807</v>
      </c>
      <c r="D13" s="10" t="n">
        <f aca="false">_xlfn.MAXIFS(C_Screening!$P$4:$P$48,C_Screening!$AB$4:$AB$48,A13)</f>
        <v>52</v>
      </c>
      <c r="E13" s="10" t="n">
        <f aca="false">_xlfn.MAXIFS(C_Screening!$Q$4:$Q$48,C_Screening!$AB$4:$AB$48,A13)</f>
        <v>66</v>
      </c>
      <c r="F13" s="10" t="n">
        <f aca="false">_xlfn.MAXIFS(C_Screening!$R$4:$R$48,C_Screening!$AB$4:$AB$48,A13)</f>
        <v>58.5</v>
      </c>
      <c r="G13" s="10" t="n">
        <f aca="false">_xlfn.MAXIFS(C_Screening!$S$4:$S$48,C_Screening!$AB$4:$AB$48,A13)</f>
        <v>59</v>
      </c>
      <c r="H13" s="9" t="n">
        <f aca="false">RANK(D13,D$5:D$25)</f>
        <v>4</v>
      </c>
      <c r="I13" s="9" t="n">
        <f aca="false">RANK(E13,E$5:E$25)</f>
        <v>4</v>
      </c>
      <c r="J13" s="9" t="n">
        <f aca="false">RANK(F13,F$5:F$25)</f>
        <v>5</v>
      </c>
      <c r="K13" s="9" t="n">
        <f aca="false">RANK(G13,G$5:G$25)</f>
        <v>4</v>
      </c>
      <c r="L13" s="4" t="str">
        <f aca="false">IF(MAX(H13:K13)&lt;=10,"Yes",IF(MIN(H13:K13)&lt;=10,"Sometimes","No"))</f>
        <v>Yes</v>
      </c>
      <c r="M13" s="4" t="s">
        <v>808</v>
      </c>
      <c r="N13" s="4" t="str">
        <f aca="false">IF(AND(M13="Yes",L13&lt;&gt;"Yes"),"Selected by judgement - see rationale",IF(AND(M13="No",L13&lt;&gt;"No"),"Scores support selection - explicit review",""))</f>
        <v/>
      </c>
    </row>
    <row r="14" customFormat="false" ht="23.85" hidden="false" customHeight="false" outlineLevel="0" collapsed="false">
      <c r="A14" s="4" t="s">
        <v>750</v>
      </c>
      <c r="B14" s="4" t="s">
        <v>817</v>
      </c>
      <c r="C14" s="4" t="s">
        <v>807</v>
      </c>
      <c r="D14" s="10" t="n">
        <f aca="false">_xlfn.MAXIFS(C_Screening!$P$4:$P$48,C_Screening!$AB$4:$AB$48,A14)</f>
        <v>44</v>
      </c>
      <c r="E14" s="10" t="n">
        <f aca="false">_xlfn.MAXIFS(C_Screening!$Q$4:$Q$48,C_Screening!$AB$4:$AB$48,A14)</f>
        <v>53</v>
      </c>
      <c r="F14" s="10" t="n">
        <f aca="false">_xlfn.MAXIFS(C_Screening!$R$4:$R$48,C_Screening!$AB$4:$AB$48,A14)</f>
        <v>51.5</v>
      </c>
      <c r="G14" s="10" t="n">
        <f aca="false">_xlfn.MAXIFS(C_Screening!$S$4:$S$48,C_Screening!$AB$4:$AB$48,A14)</f>
        <v>51.5</v>
      </c>
      <c r="H14" s="9" t="n">
        <f aca="false">RANK(D14,D$5:D$25)</f>
        <v>11</v>
      </c>
      <c r="I14" s="9" t="n">
        <f aca="false">RANK(E14,E$5:E$25)</f>
        <v>11</v>
      </c>
      <c r="J14" s="9" t="n">
        <f aca="false">RANK(F14,F$5:F$25)</f>
        <v>10</v>
      </c>
      <c r="K14" s="9" t="n">
        <f aca="false">RANK(G14,G$5:G$25)</f>
        <v>10</v>
      </c>
      <c r="L14" s="4" t="str">
        <f aca="false">IF(MAX(H14:K14)&lt;=10,"Yes",IF(MIN(H14:K14)&lt;=10,"Sometimes","No"))</f>
        <v>Sometimes</v>
      </c>
      <c r="M14" s="4" t="s">
        <v>808</v>
      </c>
      <c r="N14" s="4" t="str">
        <f aca="false">IF(AND(M14="Yes",L14&lt;&gt;"Yes"),"Selected by judgement - see rationale",IF(AND(M14="No",L14&lt;&gt;"No"),"Scores support selection - explicit review",""))</f>
        <v>Selected by judgement - see rationale</v>
      </c>
    </row>
    <row r="15" customFormat="false" ht="15" hidden="false" customHeight="false" outlineLevel="0" collapsed="false">
      <c r="A15" s="4" t="s">
        <v>329</v>
      </c>
      <c r="B15" s="4" t="s">
        <v>330</v>
      </c>
      <c r="C15" s="4" t="s">
        <v>714</v>
      </c>
      <c r="D15" s="10" t="n">
        <f aca="false">_xlfn.MAXIFS(C_Screening!$P$4:$P$48,C_Screening!$AB$4:$AB$48,A15)</f>
        <v>33</v>
      </c>
      <c r="E15" s="10" t="n">
        <f aca="false">_xlfn.MAXIFS(C_Screening!$Q$4:$Q$48,C_Screening!$AB$4:$AB$48,A15)</f>
        <v>39</v>
      </c>
      <c r="F15" s="10" t="n">
        <f aca="false">_xlfn.MAXIFS(C_Screening!$R$4:$R$48,C_Screening!$AB$4:$AB$48,A15)</f>
        <v>38.5</v>
      </c>
      <c r="G15" s="10" t="n">
        <f aca="false">_xlfn.MAXIFS(C_Screening!$S$4:$S$48,C_Screening!$AB$4:$AB$48,A15)</f>
        <v>36.5</v>
      </c>
      <c r="H15" s="9" t="n">
        <f aca="false">RANK(D15,D$5:D$25)</f>
        <v>13</v>
      </c>
      <c r="I15" s="9" t="n">
        <f aca="false">RANK(E15,E$5:E$25)</f>
        <v>13</v>
      </c>
      <c r="J15" s="9" t="n">
        <f aca="false">RANK(F15,F$5:F$25)</f>
        <v>15</v>
      </c>
      <c r="K15" s="9" t="n">
        <f aca="false">RANK(G15,G$5:G$25)</f>
        <v>14</v>
      </c>
      <c r="L15" s="4" t="str">
        <f aca="false">IF(MAX(H15:K15)&lt;=10,"Yes",IF(MIN(H15:K15)&lt;=10,"Sometimes","No"))</f>
        <v>No</v>
      </c>
      <c r="M15" s="4" t="s">
        <v>163</v>
      </c>
      <c r="N15" s="4" t="str">
        <f aca="false">IF(AND(M15="Yes",L15&lt;&gt;"Yes"),"Selected by judgement - see rationale",IF(AND(M15="No",L15&lt;&gt;"No"),"Scores support selection - explicit review",""))</f>
        <v/>
      </c>
    </row>
    <row r="16" customFormat="false" ht="15" hidden="false" customHeight="false" outlineLevel="0" collapsed="false">
      <c r="A16" s="4" t="s">
        <v>407</v>
      </c>
      <c r="B16" s="4" t="s">
        <v>408</v>
      </c>
      <c r="C16" s="4" t="s">
        <v>714</v>
      </c>
      <c r="D16" s="10" t="n">
        <f aca="false">_xlfn.MAXIFS(C_Screening!$P$4:$P$48,C_Screening!$AB$4:$AB$48,A16)</f>
        <v>33</v>
      </c>
      <c r="E16" s="10" t="n">
        <f aca="false">_xlfn.MAXIFS(C_Screening!$Q$4:$Q$48,C_Screening!$AB$4:$AB$48,A16)</f>
        <v>39</v>
      </c>
      <c r="F16" s="10" t="n">
        <f aca="false">_xlfn.MAXIFS(C_Screening!$R$4:$R$48,C_Screening!$AB$4:$AB$48,A16)</f>
        <v>40</v>
      </c>
      <c r="G16" s="10" t="n">
        <f aca="false">_xlfn.MAXIFS(C_Screening!$S$4:$S$48,C_Screening!$AB$4:$AB$48,A16)</f>
        <v>37.5</v>
      </c>
      <c r="H16" s="9" t="n">
        <f aca="false">RANK(D16,D$5:D$25)</f>
        <v>13</v>
      </c>
      <c r="I16" s="9" t="n">
        <f aca="false">RANK(E16,E$5:E$25)</f>
        <v>13</v>
      </c>
      <c r="J16" s="9" t="n">
        <f aca="false">RANK(F16,F$5:F$25)</f>
        <v>13</v>
      </c>
      <c r="K16" s="9" t="n">
        <f aca="false">RANK(G16,G$5:G$25)</f>
        <v>13</v>
      </c>
      <c r="L16" s="4" t="str">
        <f aca="false">IF(MAX(H16:K16)&lt;=10,"Yes",IF(MIN(H16:K16)&lt;=10,"Sometimes","No"))</f>
        <v>No</v>
      </c>
      <c r="M16" s="4" t="s">
        <v>163</v>
      </c>
      <c r="N16" s="4" t="str">
        <f aca="false">IF(AND(M16="Yes",L16&lt;&gt;"Yes"),"Selected by judgement - see rationale",IF(AND(M16="No",L16&lt;&gt;"No"),"Scores support selection - explicit review",""))</f>
        <v/>
      </c>
    </row>
    <row r="17" customFormat="false" ht="15" hidden="false" customHeight="false" outlineLevel="0" collapsed="false">
      <c r="A17" s="4" t="s">
        <v>416</v>
      </c>
      <c r="B17" s="4" t="s">
        <v>417</v>
      </c>
      <c r="C17" s="4" t="s">
        <v>714</v>
      </c>
      <c r="D17" s="10" t="n">
        <f aca="false">_xlfn.MAXIFS(C_Screening!$P$4:$P$48,C_Screening!$AB$4:$AB$48,A17)</f>
        <v>28</v>
      </c>
      <c r="E17" s="10" t="n">
        <f aca="false">_xlfn.MAXIFS(C_Screening!$Q$4:$Q$48,C_Screening!$AB$4:$AB$48,A17)</f>
        <v>34</v>
      </c>
      <c r="F17" s="10" t="n">
        <f aca="false">_xlfn.MAXIFS(C_Screening!$R$4:$R$48,C_Screening!$AB$4:$AB$48,A17)</f>
        <v>33.5</v>
      </c>
      <c r="G17" s="10" t="n">
        <f aca="false">_xlfn.MAXIFS(C_Screening!$S$4:$S$48,C_Screening!$AB$4:$AB$48,A17)</f>
        <v>31.5</v>
      </c>
      <c r="H17" s="9" t="n">
        <f aca="false">RANK(D17,D$5:D$25)</f>
        <v>16</v>
      </c>
      <c r="I17" s="9" t="n">
        <f aca="false">RANK(E17,E$5:E$25)</f>
        <v>17</v>
      </c>
      <c r="J17" s="9" t="n">
        <f aca="false">RANK(F17,F$5:F$25)</f>
        <v>16</v>
      </c>
      <c r="K17" s="9" t="n">
        <f aca="false">RANK(G17,G$5:G$25)</f>
        <v>16</v>
      </c>
      <c r="L17" s="4" t="str">
        <f aca="false">IF(MAX(H17:K17)&lt;=10,"Yes",IF(MIN(H17:K17)&lt;=10,"Sometimes","No"))</f>
        <v>No</v>
      </c>
      <c r="M17" s="4" t="s">
        <v>163</v>
      </c>
      <c r="N17" s="4" t="str">
        <f aca="false">IF(AND(M17="Yes",L17&lt;&gt;"Yes"),"Selected by judgement - see rationale",IF(AND(M17="No",L17&lt;&gt;"No"),"Scores support selection - explicit review",""))</f>
        <v/>
      </c>
    </row>
    <row r="18" customFormat="false" ht="23.85" hidden="false" customHeight="false" outlineLevel="0" collapsed="false">
      <c r="A18" s="4" t="s">
        <v>431</v>
      </c>
      <c r="B18" s="4" t="s">
        <v>432</v>
      </c>
      <c r="C18" s="4" t="s">
        <v>743</v>
      </c>
      <c r="D18" s="10" t="n">
        <f aca="false">_xlfn.MAXIFS(C_Screening!$P$4:$P$48,C_Screening!$AB$4:$AB$48,A18)</f>
        <v>37</v>
      </c>
      <c r="E18" s="10" t="n">
        <f aca="false">_xlfn.MAXIFS(C_Screening!$Q$4:$Q$48,C_Screening!$AB$4:$AB$48,A18)</f>
        <v>47</v>
      </c>
      <c r="F18" s="10" t="n">
        <f aca="false">_xlfn.MAXIFS(C_Screening!$R$4:$R$48,C_Screening!$AB$4:$AB$48,A18)</f>
        <v>41</v>
      </c>
      <c r="G18" s="10" t="n">
        <f aca="false">_xlfn.MAXIFS(C_Screening!$S$4:$S$48,C_Screening!$AB$4:$AB$48,A18)</f>
        <v>42</v>
      </c>
      <c r="H18" s="9" t="n">
        <f aca="false">RANK(D18,D$5:D$25)</f>
        <v>12</v>
      </c>
      <c r="I18" s="9" t="n">
        <f aca="false">RANK(E18,E$5:E$25)</f>
        <v>12</v>
      </c>
      <c r="J18" s="9" t="n">
        <f aca="false">RANK(F18,F$5:F$25)</f>
        <v>12</v>
      </c>
      <c r="K18" s="9" t="n">
        <f aca="false">RANK(G18,G$5:G$25)</f>
        <v>12</v>
      </c>
      <c r="L18" s="4" t="str">
        <f aca="false">IF(MAX(H18:K18)&lt;=10,"Yes",IF(MIN(H18:K18)&lt;=10,"Sometimes","No"))</f>
        <v>No</v>
      </c>
      <c r="M18" s="4" t="s">
        <v>163</v>
      </c>
      <c r="N18" s="4" t="str">
        <f aca="false">IF(AND(M18="Yes",L18&lt;&gt;"Yes"),"Selected by judgement - see rationale",IF(AND(M18="No",L18&lt;&gt;"No"),"Scores support selection - explicit review",""))</f>
        <v/>
      </c>
    </row>
    <row r="19" customFormat="false" ht="15" hidden="false" customHeight="false" outlineLevel="0" collapsed="false">
      <c r="A19" s="4" t="s">
        <v>467</v>
      </c>
      <c r="B19" s="4" t="s">
        <v>468</v>
      </c>
      <c r="C19" s="4" t="s">
        <v>714</v>
      </c>
      <c r="D19" s="10" t="n">
        <f aca="false">_xlfn.MAXIFS(C_Screening!$P$4:$P$48,C_Screening!$AB$4:$AB$48,A19)</f>
        <v>27</v>
      </c>
      <c r="E19" s="10" t="n">
        <f aca="false">_xlfn.MAXIFS(C_Screening!$Q$4:$Q$48,C_Screening!$AB$4:$AB$48,A19)</f>
        <v>33</v>
      </c>
      <c r="F19" s="10" t="n">
        <f aca="false">_xlfn.MAXIFS(C_Screening!$R$4:$R$48,C_Screening!$AB$4:$AB$48,A19)</f>
        <v>30.5</v>
      </c>
      <c r="G19" s="10" t="n">
        <f aca="false">_xlfn.MAXIFS(C_Screening!$S$4:$S$48,C_Screening!$AB$4:$AB$48,A19)</f>
        <v>30.5</v>
      </c>
      <c r="H19" s="9" t="n">
        <f aca="false">RANK(D19,D$5:D$25)</f>
        <v>18</v>
      </c>
      <c r="I19" s="9" t="n">
        <f aca="false">RANK(E19,E$5:E$25)</f>
        <v>19</v>
      </c>
      <c r="J19" s="9" t="n">
        <f aca="false">RANK(F19,F$5:F$25)</f>
        <v>18</v>
      </c>
      <c r="K19" s="9" t="n">
        <f aca="false">RANK(G19,G$5:G$25)</f>
        <v>18</v>
      </c>
      <c r="L19" s="4" t="str">
        <f aca="false">IF(MAX(H19:K19)&lt;=10,"Yes",IF(MIN(H19:K19)&lt;=10,"Sometimes","No"))</f>
        <v>No</v>
      </c>
      <c r="M19" s="4" t="s">
        <v>163</v>
      </c>
      <c r="N19" s="4" t="str">
        <f aca="false">IF(AND(M19="Yes",L19&lt;&gt;"Yes"),"Selected by judgement - see rationale",IF(AND(M19="No",L19&lt;&gt;"No"),"Scores support selection - explicit review",""))</f>
        <v/>
      </c>
    </row>
    <row r="20" customFormat="false" ht="15" hidden="false" customHeight="false" outlineLevel="0" collapsed="false">
      <c r="A20" s="4" t="s">
        <v>493</v>
      </c>
      <c r="B20" s="4" t="s">
        <v>494</v>
      </c>
      <c r="C20" s="4" t="s">
        <v>714</v>
      </c>
      <c r="D20" s="10" t="n">
        <f aca="false">_xlfn.MAXIFS(C_Screening!$P$4:$P$48,C_Screening!$AB$4:$AB$48,A20)</f>
        <v>28</v>
      </c>
      <c r="E20" s="10" t="n">
        <f aca="false">_xlfn.MAXIFS(C_Screening!$Q$4:$Q$48,C_Screening!$AB$4:$AB$48,A20)</f>
        <v>35.5</v>
      </c>
      <c r="F20" s="10" t="n">
        <f aca="false">_xlfn.MAXIFS(C_Screening!$R$4:$R$48,C_Screening!$AB$4:$AB$48,A20)</f>
        <v>33</v>
      </c>
      <c r="G20" s="10" t="n">
        <f aca="false">_xlfn.MAXIFS(C_Screening!$S$4:$S$48,C_Screening!$AB$4:$AB$48,A20)</f>
        <v>31.5</v>
      </c>
      <c r="H20" s="9" t="n">
        <f aca="false">RANK(D20,D$5:D$25)</f>
        <v>16</v>
      </c>
      <c r="I20" s="9" t="n">
        <f aca="false">RANK(E20,E$5:E$25)</f>
        <v>16</v>
      </c>
      <c r="J20" s="9" t="n">
        <f aca="false">RANK(F20,F$5:F$25)</f>
        <v>17</v>
      </c>
      <c r="K20" s="9" t="n">
        <f aca="false">RANK(G20,G$5:G$25)</f>
        <v>16</v>
      </c>
      <c r="L20" s="4" t="str">
        <f aca="false">IF(MAX(H20:K20)&lt;=10,"Yes",IF(MIN(H20:K20)&lt;=10,"Sometimes","No"))</f>
        <v>No</v>
      </c>
      <c r="M20" s="4" t="s">
        <v>163</v>
      </c>
      <c r="N20" s="4" t="str">
        <f aca="false">IF(AND(M20="Yes",L20&lt;&gt;"Yes"),"Selected by judgement - see rationale",IF(AND(M20="No",L20&lt;&gt;"No"),"Scores support selection - explicit review",""))</f>
        <v/>
      </c>
    </row>
    <row r="21" customFormat="false" ht="15" hidden="false" customHeight="false" outlineLevel="0" collapsed="false">
      <c r="A21" s="4" t="s">
        <v>516</v>
      </c>
      <c r="B21" s="4" t="s">
        <v>517</v>
      </c>
      <c r="C21" s="4" t="s">
        <v>743</v>
      </c>
      <c r="D21" s="10" t="n">
        <f aca="false">_xlfn.MAXIFS(C_Screening!$P$4:$P$48,C_Screening!$AB$4:$AB$48,A21)</f>
        <v>48</v>
      </c>
      <c r="E21" s="10" t="n">
        <f aca="false">_xlfn.MAXIFS(C_Screening!$Q$4:$Q$48,C_Screening!$AB$4:$AB$48,A21)</f>
        <v>61</v>
      </c>
      <c r="F21" s="10" t="n">
        <f aca="false">_xlfn.MAXIFS(C_Screening!$R$4:$R$48,C_Screening!$AB$4:$AB$48,A21)</f>
        <v>53</v>
      </c>
      <c r="G21" s="10" t="n">
        <f aca="false">_xlfn.MAXIFS(C_Screening!$S$4:$S$48,C_Screening!$AB$4:$AB$48,A21)</f>
        <v>54.5</v>
      </c>
      <c r="H21" s="9" t="n">
        <f aca="false">RANK(D21,D$5:D$25)</f>
        <v>7</v>
      </c>
      <c r="I21" s="9" t="n">
        <f aca="false">RANK(E21,E$5:E$25)</f>
        <v>7</v>
      </c>
      <c r="J21" s="9" t="n">
        <f aca="false">RANK(F21,F$5:F$25)</f>
        <v>9</v>
      </c>
      <c r="K21" s="9" t="n">
        <f aca="false">RANK(G21,G$5:G$25)</f>
        <v>7</v>
      </c>
      <c r="L21" s="4" t="str">
        <f aca="false">IF(MAX(H21:K21)&lt;=10,"Yes",IF(MIN(H21:K21)&lt;=10,"Sometimes","No"))</f>
        <v>Yes</v>
      </c>
      <c r="M21" s="4" t="s">
        <v>163</v>
      </c>
      <c r="N21" s="4" t="str">
        <f aca="false">IF(AND(M21="Yes",L21&lt;&gt;"Yes"),"Selected by judgement - see rationale",IF(AND(M21="No",L21&lt;&gt;"No"),"Scores support selection - explicit review",""))</f>
        <v>Scores support selection - explicit review</v>
      </c>
    </row>
    <row r="22" customFormat="false" ht="15" hidden="false" customHeight="false" outlineLevel="0" collapsed="false">
      <c r="A22" s="4" t="s">
        <v>532</v>
      </c>
      <c r="B22" s="4" t="s">
        <v>533</v>
      </c>
      <c r="C22" s="4" t="s">
        <v>714</v>
      </c>
      <c r="D22" s="10" t="n">
        <f aca="false">_xlfn.MAXIFS(C_Screening!$P$4:$P$48,C_Screening!$AB$4:$AB$48,A22)</f>
        <v>32</v>
      </c>
      <c r="E22" s="10" t="n">
        <f aca="false">_xlfn.MAXIFS(C_Screening!$Q$4:$Q$48,C_Screening!$AB$4:$AB$48,A22)</f>
        <v>37.5</v>
      </c>
      <c r="F22" s="10" t="n">
        <f aca="false">_xlfn.MAXIFS(C_Screening!$R$4:$R$48,C_Screening!$AB$4:$AB$48,A22)</f>
        <v>39</v>
      </c>
      <c r="G22" s="10" t="n">
        <f aca="false">_xlfn.MAXIFS(C_Screening!$S$4:$S$48,C_Screening!$AB$4:$AB$48,A22)</f>
        <v>36.5</v>
      </c>
      <c r="H22" s="9" t="n">
        <f aca="false">RANK(D22,D$5:D$25)</f>
        <v>15</v>
      </c>
      <c r="I22" s="9" t="n">
        <f aca="false">RANK(E22,E$5:E$25)</f>
        <v>15</v>
      </c>
      <c r="J22" s="9" t="n">
        <f aca="false">RANK(F22,F$5:F$25)</f>
        <v>14</v>
      </c>
      <c r="K22" s="9" t="n">
        <f aca="false">RANK(G22,G$5:G$25)</f>
        <v>14</v>
      </c>
      <c r="L22" s="4" t="str">
        <f aca="false">IF(MAX(H22:K22)&lt;=10,"Yes",IF(MIN(H22:K22)&lt;=10,"Sometimes","No"))</f>
        <v>No</v>
      </c>
      <c r="M22" s="4" t="s">
        <v>163</v>
      </c>
      <c r="N22" s="4" t="str">
        <f aca="false">IF(AND(M22="Yes",L22&lt;&gt;"Yes"),"Selected by judgement - see rationale",IF(AND(M22="No",L22&lt;&gt;"No"),"Scores support selection - explicit review",""))</f>
        <v/>
      </c>
    </row>
    <row r="23" customFormat="false" ht="15" hidden="false" customHeight="false" outlineLevel="0" collapsed="false">
      <c r="A23" s="4" t="s">
        <v>560</v>
      </c>
      <c r="B23" s="4" t="s">
        <v>561</v>
      </c>
      <c r="C23" s="4" t="s">
        <v>714</v>
      </c>
      <c r="D23" s="10" t="n">
        <f aca="false">_xlfn.MAXIFS(C_Screening!$P$4:$P$48,C_Screening!$AB$4:$AB$48,A23)</f>
        <v>18</v>
      </c>
      <c r="E23" s="10" t="n">
        <f aca="false">_xlfn.MAXIFS(C_Screening!$Q$4:$Q$48,C_Screening!$AB$4:$AB$48,A23)</f>
        <v>21</v>
      </c>
      <c r="F23" s="10" t="n">
        <f aca="false">_xlfn.MAXIFS(C_Screening!$R$4:$R$48,C_Screening!$AB$4:$AB$48,A23)</f>
        <v>21.5</v>
      </c>
      <c r="G23" s="10" t="n">
        <f aca="false">_xlfn.MAXIFS(C_Screening!$S$4:$S$48,C_Screening!$AB$4:$AB$48,A23)</f>
        <v>20</v>
      </c>
      <c r="H23" s="9" t="n">
        <f aca="false">RANK(D23,D$5:D$25)</f>
        <v>21</v>
      </c>
      <c r="I23" s="9" t="n">
        <f aca="false">RANK(E23,E$5:E$25)</f>
        <v>21</v>
      </c>
      <c r="J23" s="9" t="n">
        <f aca="false">RANK(F23,F$5:F$25)</f>
        <v>21</v>
      </c>
      <c r="K23" s="9" t="n">
        <f aca="false">RANK(G23,G$5:G$25)</f>
        <v>21</v>
      </c>
      <c r="L23" s="4" t="str">
        <f aca="false">IF(MAX(H23:K23)&lt;=10,"Yes",IF(MIN(H23:K23)&lt;=10,"Sometimes","No"))</f>
        <v>No</v>
      </c>
      <c r="M23" s="4" t="s">
        <v>163</v>
      </c>
      <c r="N23" s="4" t="str">
        <f aca="false">IF(AND(M23="Yes",L23&lt;&gt;"Yes"),"Selected by judgement - see rationale",IF(AND(M23="No",L23&lt;&gt;"No"),"Scores support selection - explicit review",""))</f>
        <v/>
      </c>
    </row>
    <row r="24" customFormat="false" ht="15" hidden="false" customHeight="false" outlineLevel="0" collapsed="false">
      <c r="A24" s="4" t="s">
        <v>566</v>
      </c>
      <c r="B24" s="4" t="s">
        <v>567</v>
      </c>
      <c r="C24" s="4" t="s">
        <v>714</v>
      </c>
      <c r="D24" s="10" t="n">
        <f aca="false">_xlfn.MAXIFS(C_Screening!$P$4:$P$48,C_Screening!$AB$4:$AB$48,A24)</f>
        <v>20</v>
      </c>
      <c r="E24" s="10" t="n">
        <f aca="false">_xlfn.MAXIFS(C_Screening!$Q$4:$Q$48,C_Screening!$AB$4:$AB$48,A24)</f>
        <v>25</v>
      </c>
      <c r="F24" s="10" t="n">
        <f aca="false">_xlfn.MAXIFS(C_Screening!$R$4:$R$48,C_Screening!$AB$4:$AB$48,A24)</f>
        <v>22.5</v>
      </c>
      <c r="G24" s="10" t="n">
        <f aca="false">_xlfn.MAXIFS(C_Screening!$S$4:$S$48,C_Screening!$AB$4:$AB$48,A24)</f>
        <v>22</v>
      </c>
      <c r="H24" s="9" t="n">
        <f aca="false">RANK(D24,D$5:D$25)</f>
        <v>20</v>
      </c>
      <c r="I24" s="9" t="n">
        <f aca="false">RANK(E24,E$5:E$25)</f>
        <v>20</v>
      </c>
      <c r="J24" s="9" t="n">
        <f aca="false">RANK(F24,F$5:F$25)</f>
        <v>20</v>
      </c>
      <c r="K24" s="9" t="n">
        <f aca="false">RANK(G24,G$5:G$25)</f>
        <v>20</v>
      </c>
      <c r="L24" s="4" t="str">
        <f aca="false">IF(MAX(H24:K24)&lt;=10,"Yes",IF(MIN(H24:K24)&lt;=10,"Sometimes","No"))</f>
        <v>No</v>
      </c>
      <c r="M24" s="4" t="s">
        <v>163</v>
      </c>
      <c r="N24" s="4" t="str">
        <f aca="false">IF(AND(M24="Yes",L24&lt;&gt;"Yes"),"Selected by judgement - see rationale",IF(AND(M24="No",L24&lt;&gt;"No"),"Scores support selection - explicit review",""))</f>
        <v/>
      </c>
    </row>
    <row r="25" customFormat="false" ht="15" hidden="false" customHeight="false" outlineLevel="0" collapsed="false">
      <c r="A25" s="4" t="s">
        <v>573</v>
      </c>
      <c r="B25" s="4" t="s">
        <v>574</v>
      </c>
      <c r="C25" s="4" t="s">
        <v>714</v>
      </c>
      <c r="D25" s="10" t="n">
        <f aca="false">_xlfn.MAXIFS(C_Screening!$P$4:$P$48,C_Screening!$AB$4:$AB$48,A25)</f>
        <v>27</v>
      </c>
      <c r="E25" s="10" t="n">
        <f aca="false">_xlfn.MAXIFS(C_Screening!$Q$4:$Q$48,C_Screening!$AB$4:$AB$48,A25)</f>
        <v>34</v>
      </c>
      <c r="F25" s="10" t="n">
        <f aca="false">_xlfn.MAXIFS(C_Screening!$R$4:$R$48,C_Screening!$AB$4:$AB$48,A25)</f>
        <v>30.5</v>
      </c>
      <c r="G25" s="10" t="n">
        <f aca="false">_xlfn.MAXIFS(C_Screening!$S$4:$S$48,C_Screening!$AB$4:$AB$48,A25)</f>
        <v>30.5</v>
      </c>
      <c r="H25" s="9" t="n">
        <f aca="false">RANK(D25,D$5:D$25)</f>
        <v>18</v>
      </c>
      <c r="I25" s="9" t="n">
        <f aca="false">RANK(E25,E$5:E$25)</f>
        <v>17</v>
      </c>
      <c r="J25" s="9" t="n">
        <f aca="false">RANK(F25,F$5:F$25)</f>
        <v>18</v>
      </c>
      <c r="K25" s="9" t="n">
        <f aca="false">RANK(G25,G$5:G$25)</f>
        <v>18</v>
      </c>
      <c r="L25" s="4" t="str">
        <f aca="false">IF(MAX(H25:K25)&lt;=10,"Yes",IF(MIN(H25:K25)&lt;=10,"Sometimes","No"))</f>
        <v>No</v>
      </c>
      <c r="M25" s="4" t="s">
        <v>163</v>
      </c>
      <c r="N25" s="4" t="str">
        <f aca="false">IF(AND(M25="Yes",L25&lt;&gt;"Yes"),"Selected by judgement - see rationale",IF(AND(M25="No",L25&lt;&gt;"No"),"Scores support selection - explicit review",""))</f>
        <v/>
      </c>
    </row>
    <row r="27" customFormat="false" ht="15" hidden="false" customHeight="false" outlineLevel="0" collapsed="false">
      <c r="A27" s="2" t="s">
        <v>818</v>
      </c>
    </row>
    <row r="28" customFormat="false" ht="15" hidden="false" customHeight="false" outlineLevel="0" collapsed="false">
      <c r="A28" s="2" t="s">
        <v>819</v>
      </c>
    </row>
    <row r="29" customFormat="false" ht="15" hidden="false" customHeight="false" outlineLevel="0" collapsed="false">
      <c r="A29" s="2" t="s">
        <v>820</v>
      </c>
    </row>
    <row r="30" customFormat="false" ht="15" hidden="false" customHeight="false" outlineLevel="0" collapsed="false">
      <c r="A30" s="2" t="s">
        <v>821</v>
      </c>
    </row>
  </sheetData>
  <conditionalFormatting sqref="H5:K25">
    <cfRule type="cellIs" priority="2" operator="lessThanOrEqual" aboveAverage="0" equalAverage="0" bottom="0" percent="0" rank="0" text="" dxfId="0">
      <formula>10</formula>
    </cfRule>
  </conditionalFormatting>
  <conditionalFormatting sqref="N5:N25">
    <cfRule type="cellIs" priority="3" operator="notEqual" aboveAverage="0" equalAverage="0" bottom="0" percent="0" rank="0" text="" dxfId="1">
      <formul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70"/>
    <col collapsed="false" customWidth="true" hidden="false" outlineLevel="0" max="4" min="4" style="0" width="22"/>
    <col collapsed="false" customWidth="true" hidden="false" outlineLevel="0" max="5" min="5" style="0" width="26"/>
    <col collapsed="false" customWidth="true" hidden="false" outlineLevel="0" max="6" min="6" style="0" width="22"/>
    <col collapsed="false" customWidth="true" hidden="false" outlineLevel="0" max="7" min="7" style="0" width="40"/>
    <col collapsed="false" customWidth="true" hidden="false" outlineLevel="0" max="8" min="8" style="0" width="34"/>
    <col collapsed="false" customWidth="true" hidden="false" outlineLevel="0" max="9" min="9" style="0" width="24"/>
    <col collapsed="false" customWidth="true" hidden="false" outlineLevel="0" max="10" min="10" style="0" width="28"/>
    <col collapsed="false" customWidth="true" hidden="false" outlineLevel="0" max="11" min="11" style="0" width="30"/>
    <col collapsed="false" customWidth="true" hidden="false" outlineLevel="0" max="12" min="12" style="0" width="50"/>
    <col collapsed="false" customWidth="true" hidden="false" outlineLevel="0" max="13" min="13" style="0" width="36"/>
    <col collapsed="false" customWidth="true" hidden="false" outlineLevel="0" max="14" min="14" style="0" width="10"/>
    <col collapsed="false" customWidth="true" hidden="false" outlineLevel="0" max="15" min="15" style="0" width="40"/>
    <col collapsed="false" customWidth="true" hidden="false" outlineLevel="0" max="16" min="16" style="0" width="18"/>
    <col collapsed="false" customWidth="true" hidden="false" outlineLevel="0" max="17" min="17" style="0" width="12"/>
  </cols>
  <sheetData>
    <row r="1" customFormat="false" ht="17.35" hidden="false" customHeight="false" outlineLevel="0" collapsed="false">
      <c r="A1" s="1" t="s">
        <v>822</v>
      </c>
    </row>
    <row r="3" customFormat="false" ht="23.85" hidden="false" customHeight="false" outlineLevel="0" collapsed="false">
      <c r="A3" s="3" t="s">
        <v>49</v>
      </c>
      <c r="B3" s="3" t="s">
        <v>227</v>
      </c>
      <c r="C3" s="3" t="s">
        <v>823</v>
      </c>
      <c r="D3" s="3" t="s">
        <v>824</v>
      </c>
      <c r="E3" s="3" t="s">
        <v>825</v>
      </c>
      <c r="F3" s="3" t="s">
        <v>230</v>
      </c>
      <c r="G3" s="3" t="s">
        <v>826</v>
      </c>
      <c r="H3" s="3" t="s">
        <v>827</v>
      </c>
      <c r="I3" s="3" t="s">
        <v>828</v>
      </c>
      <c r="J3" s="3" t="s">
        <v>829</v>
      </c>
      <c r="K3" s="3" t="s">
        <v>830</v>
      </c>
      <c r="L3" s="3" t="s">
        <v>831</v>
      </c>
      <c r="M3" s="3" t="s">
        <v>675</v>
      </c>
      <c r="N3" s="3" t="s">
        <v>832</v>
      </c>
      <c r="O3" s="3" t="s">
        <v>833</v>
      </c>
      <c r="P3" s="3" t="s">
        <v>834</v>
      </c>
      <c r="Q3" s="3" t="s">
        <v>835</v>
      </c>
    </row>
    <row r="4" customFormat="false" ht="68.65" hidden="false" customHeight="false" outlineLevel="0" collapsed="false">
      <c r="A4" s="4" t="s">
        <v>685</v>
      </c>
      <c r="B4" s="4" t="s">
        <v>806</v>
      </c>
      <c r="C4" s="4" t="s">
        <v>836</v>
      </c>
      <c r="D4" s="4" t="s">
        <v>837</v>
      </c>
      <c r="E4" s="4" t="s">
        <v>838</v>
      </c>
      <c r="F4" s="4" t="s">
        <v>839</v>
      </c>
      <c r="G4" s="4" t="s">
        <v>840</v>
      </c>
      <c r="H4" s="4" t="s">
        <v>841</v>
      </c>
      <c r="I4" s="4" t="s">
        <v>842</v>
      </c>
      <c r="J4" s="4" t="s">
        <v>843</v>
      </c>
      <c r="K4" s="4" t="s">
        <v>844</v>
      </c>
      <c r="L4" s="4" t="s">
        <v>845</v>
      </c>
      <c r="M4" s="4" t="s">
        <v>846</v>
      </c>
      <c r="N4" s="4" t="s">
        <v>683</v>
      </c>
      <c r="O4" s="4" t="s">
        <v>847</v>
      </c>
      <c r="P4" s="4" t="s">
        <v>848</v>
      </c>
      <c r="Q4" s="4" t="s">
        <v>849</v>
      </c>
    </row>
    <row r="5" customFormat="false" ht="68.65" hidden="false" customHeight="false" outlineLevel="0" collapsed="false">
      <c r="A5" s="4" t="s">
        <v>688</v>
      </c>
      <c r="B5" s="4" t="s">
        <v>809</v>
      </c>
      <c r="C5" s="4" t="s">
        <v>850</v>
      </c>
      <c r="D5" s="4" t="s">
        <v>851</v>
      </c>
      <c r="E5" s="4" t="s">
        <v>852</v>
      </c>
      <c r="F5" s="4" t="s">
        <v>853</v>
      </c>
      <c r="G5" s="4" t="s">
        <v>854</v>
      </c>
      <c r="H5" s="4" t="s">
        <v>855</v>
      </c>
      <c r="I5" s="4" t="s">
        <v>856</v>
      </c>
      <c r="J5" s="4" t="s">
        <v>857</v>
      </c>
      <c r="K5" s="4" t="s">
        <v>858</v>
      </c>
      <c r="L5" s="4" t="s">
        <v>859</v>
      </c>
      <c r="M5" s="4" t="s">
        <v>860</v>
      </c>
      <c r="N5" s="4" t="s">
        <v>683</v>
      </c>
      <c r="O5" s="4" t="s">
        <v>861</v>
      </c>
      <c r="P5" s="4" t="s">
        <v>862</v>
      </c>
      <c r="Q5" s="4" t="s">
        <v>863</v>
      </c>
    </row>
    <row r="6" customFormat="false" ht="57.45" hidden="false" customHeight="false" outlineLevel="0" collapsed="false">
      <c r="A6" s="4" t="s">
        <v>706</v>
      </c>
      <c r="B6" s="4" t="s">
        <v>810</v>
      </c>
      <c r="C6" s="4" t="s">
        <v>864</v>
      </c>
      <c r="D6" s="4" t="s">
        <v>865</v>
      </c>
      <c r="E6" s="4" t="s">
        <v>866</v>
      </c>
      <c r="F6" s="4" t="s">
        <v>867</v>
      </c>
      <c r="G6" s="4" t="s">
        <v>868</v>
      </c>
      <c r="H6" s="4" t="s">
        <v>869</v>
      </c>
      <c r="I6" s="4" t="s">
        <v>870</v>
      </c>
      <c r="J6" s="4" t="s">
        <v>871</v>
      </c>
      <c r="K6" s="4" t="s">
        <v>872</v>
      </c>
      <c r="L6" s="4" t="s">
        <v>873</v>
      </c>
      <c r="M6" s="4" t="s">
        <v>874</v>
      </c>
      <c r="N6" s="4" t="s">
        <v>692</v>
      </c>
      <c r="O6" s="4" t="s">
        <v>875</v>
      </c>
      <c r="P6" s="4" t="s">
        <v>203</v>
      </c>
      <c r="Q6" s="4" t="s">
        <v>876</v>
      </c>
    </row>
    <row r="7" customFormat="false" ht="57.45" hidden="false" customHeight="false" outlineLevel="0" collapsed="false">
      <c r="A7" s="4" t="s">
        <v>702</v>
      </c>
      <c r="B7" s="4" t="s">
        <v>811</v>
      </c>
      <c r="C7" s="4" t="s">
        <v>877</v>
      </c>
      <c r="D7" s="4" t="s">
        <v>878</v>
      </c>
      <c r="E7" s="4" t="s">
        <v>879</v>
      </c>
      <c r="F7" s="4" t="s">
        <v>880</v>
      </c>
      <c r="G7" s="4" t="s">
        <v>881</v>
      </c>
      <c r="H7" s="4" t="s">
        <v>882</v>
      </c>
      <c r="I7" s="4" t="s">
        <v>883</v>
      </c>
      <c r="J7" s="4" t="s">
        <v>884</v>
      </c>
      <c r="K7" s="4" t="s">
        <v>885</v>
      </c>
      <c r="L7" s="4" t="s">
        <v>886</v>
      </c>
      <c r="M7" s="4" t="s">
        <v>887</v>
      </c>
      <c r="N7" s="4" t="s">
        <v>692</v>
      </c>
      <c r="O7" s="4" t="s">
        <v>888</v>
      </c>
      <c r="P7" s="4" t="s">
        <v>889</v>
      </c>
      <c r="Q7" s="4" t="s">
        <v>890</v>
      </c>
    </row>
    <row r="8" customFormat="false" ht="46.25" hidden="false" customHeight="false" outlineLevel="0" collapsed="false">
      <c r="A8" s="4" t="s">
        <v>720</v>
      </c>
      <c r="B8" s="4" t="s">
        <v>812</v>
      </c>
      <c r="C8" s="4" t="s">
        <v>891</v>
      </c>
      <c r="D8" s="4" t="s">
        <v>892</v>
      </c>
      <c r="E8" s="4" t="s">
        <v>893</v>
      </c>
      <c r="F8" s="4" t="s">
        <v>894</v>
      </c>
      <c r="G8" s="4" t="s">
        <v>895</v>
      </c>
      <c r="H8" s="4" t="s">
        <v>896</v>
      </c>
      <c r="I8" s="4" t="s">
        <v>897</v>
      </c>
      <c r="J8" s="4" t="s">
        <v>898</v>
      </c>
      <c r="K8" s="4" t="s">
        <v>899</v>
      </c>
      <c r="L8" s="4" t="s">
        <v>900</v>
      </c>
      <c r="M8" s="4" t="s">
        <v>901</v>
      </c>
      <c r="N8" s="4" t="s">
        <v>700</v>
      </c>
      <c r="O8" s="4" t="s">
        <v>902</v>
      </c>
      <c r="P8" s="4" t="s">
        <v>903</v>
      </c>
      <c r="Q8" s="4" t="s">
        <v>904</v>
      </c>
    </row>
    <row r="9" customFormat="false" ht="46.25" hidden="false" customHeight="false" outlineLevel="0" collapsed="false">
      <c r="A9" s="4" t="s">
        <v>717</v>
      </c>
      <c r="B9" s="4" t="s">
        <v>813</v>
      </c>
      <c r="C9" s="4" t="s">
        <v>905</v>
      </c>
      <c r="D9" s="4" t="s">
        <v>906</v>
      </c>
      <c r="E9" s="4" t="s">
        <v>907</v>
      </c>
      <c r="F9" s="4" t="s">
        <v>908</v>
      </c>
      <c r="G9" s="4" t="s">
        <v>909</v>
      </c>
      <c r="H9" s="4" t="s">
        <v>910</v>
      </c>
      <c r="I9" s="4" t="s">
        <v>911</v>
      </c>
      <c r="J9" s="4" t="s">
        <v>912</v>
      </c>
      <c r="K9" s="4" t="s">
        <v>913</v>
      </c>
      <c r="L9" s="4" t="s">
        <v>914</v>
      </c>
      <c r="M9" s="4" t="s">
        <v>915</v>
      </c>
      <c r="N9" s="4" t="s">
        <v>692</v>
      </c>
      <c r="O9" s="4" t="s">
        <v>916</v>
      </c>
      <c r="P9" s="4" t="s">
        <v>917</v>
      </c>
      <c r="Q9" s="4" t="s">
        <v>349</v>
      </c>
    </row>
    <row r="10" customFormat="false" ht="57.45" hidden="false" customHeight="false" outlineLevel="0" collapsed="false">
      <c r="A10" s="4" t="s">
        <v>696</v>
      </c>
      <c r="B10" s="4" t="s">
        <v>814</v>
      </c>
      <c r="C10" s="4" t="s">
        <v>918</v>
      </c>
      <c r="D10" s="4" t="s">
        <v>919</v>
      </c>
      <c r="E10" s="4" t="s">
        <v>920</v>
      </c>
      <c r="F10" s="4" t="s">
        <v>921</v>
      </c>
      <c r="G10" s="4" t="s">
        <v>922</v>
      </c>
      <c r="H10" s="4" t="s">
        <v>923</v>
      </c>
      <c r="I10" s="4" t="s">
        <v>924</v>
      </c>
      <c r="J10" s="4" t="s">
        <v>925</v>
      </c>
      <c r="K10" s="4" t="s">
        <v>926</v>
      </c>
      <c r="L10" s="4" t="s">
        <v>927</v>
      </c>
      <c r="M10" s="4" t="s">
        <v>928</v>
      </c>
      <c r="N10" s="4" t="s">
        <v>692</v>
      </c>
      <c r="O10" s="4" t="s">
        <v>929</v>
      </c>
      <c r="P10" s="4" t="s">
        <v>930</v>
      </c>
      <c r="Q10" s="4" t="s">
        <v>931</v>
      </c>
    </row>
    <row r="11" customFormat="false" ht="57.45" hidden="false" customHeight="false" outlineLevel="0" collapsed="false">
      <c r="A11" s="4" t="s">
        <v>723</v>
      </c>
      <c r="B11" s="4" t="s">
        <v>815</v>
      </c>
      <c r="C11" s="4" t="s">
        <v>932</v>
      </c>
      <c r="D11" s="4" t="s">
        <v>865</v>
      </c>
      <c r="E11" s="4" t="s">
        <v>933</v>
      </c>
      <c r="F11" s="4" t="s">
        <v>934</v>
      </c>
      <c r="G11" s="4" t="s">
        <v>935</v>
      </c>
      <c r="H11" s="4" t="s">
        <v>936</v>
      </c>
      <c r="I11" s="4" t="s">
        <v>937</v>
      </c>
      <c r="J11" s="4" t="s">
        <v>938</v>
      </c>
      <c r="K11" s="4" t="s">
        <v>939</v>
      </c>
      <c r="L11" s="4" t="s">
        <v>940</v>
      </c>
      <c r="M11" s="4" t="s">
        <v>941</v>
      </c>
      <c r="N11" s="4" t="s">
        <v>692</v>
      </c>
      <c r="O11" s="4" t="s">
        <v>942</v>
      </c>
      <c r="P11" s="4" t="s">
        <v>179</v>
      </c>
      <c r="Q11" s="4" t="s">
        <v>943</v>
      </c>
    </row>
    <row r="12" customFormat="false" ht="57.45" hidden="false" customHeight="false" outlineLevel="0" collapsed="false">
      <c r="A12" s="4" t="s">
        <v>732</v>
      </c>
      <c r="B12" s="4" t="s">
        <v>816</v>
      </c>
      <c r="C12" s="4" t="s">
        <v>944</v>
      </c>
      <c r="D12" s="4" t="s">
        <v>945</v>
      </c>
      <c r="E12" s="4" t="s">
        <v>946</v>
      </c>
      <c r="F12" s="4" t="s">
        <v>947</v>
      </c>
      <c r="G12" s="4" t="s">
        <v>948</v>
      </c>
      <c r="H12" s="4" t="s">
        <v>949</v>
      </c>
      <c r="I12" s="4" t="s">
        <v>950</v>
      </c>
      <c r="J12" s="4" t="s">
        <v>951</v>
      </c>
      <c r="K12" s="4" t="s">
        <v>952</v>
      </c>
      <c r="L12" s="4" t="s">
        <v>953</v>
      </c>
      <c r="M12" s="4" t="s">
        <v>954</v>
      </c>
      <c r="N12" s="4" t="s">
        <v>692</v>
      </c>
      <c r="O12" s="4" t="s">
        <v>955</v>
      </c>
      <c r="P12" s="4" t="s">
        <v>956</v>
      </c>
      <c r="Q12" s="4" t="s">
        <v>396</v>
      </c>
    </row>
    <row r="13" customFormat="false" ht="79.85" hidden="false" customHeight="false" outlineLevel="0" collapsed="false">
      <c r="A13" s="4" t="s">
        <v>750</v>
      </c>
      <c r="B13" s="4" t="s">
        <v>817</v>
      </c>
      <c r="C13" s="4" t="s">
        <v>957</v>
      </c>
      <c r="D13" s="4" t="s">
        <v>958</v>
      </c>
      <c r="E13" s="4" t="s">
        <v>959</v>
      </c>
      <c r="F13" s="4" t="s">
        <v>960</v>
      </c>
      <c r="G13" s="4" t="s">
        <v>961</v>
      </c>
      <c r="H13" s="4" t="s">
        <v>962</v>
      </c>
      <c r="I13" s="4" t="s">
        <v>963</v>
      </c>
      <c r="J13" s="4" t="s">
        <v>964</v>
      </c>
      <c r="K13" s="4" t="s">
        <v>965</v>
      </c>
      <c r="L13" s="4" t="s">
        <v>966</v>
      </c>
      <c r="M13" s="4" t="s">
        <v>967</v>
      </c>
      <c r="N13" s="4" t="s">
        <v>692</v>
      </c>
      <c r="O13" s="4" t="s">
        <v>968</v>
      </c>
      <c r="P13" s="4" t="s">
        <v>969</v>
      </c>
      <c r="Q13" s="4" t="s">
        <v>970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4" min="3" style="0" width="34"/>
    <col collapsed="false" customWidth="true" hidden="false" outlineLevel="0" max="5" min="5" style="0" width="26"/>
    <col collapsed="false" customWidth="true" hidden="false" outlineLevel="0" max="6" min="6" style="0" width="34"/>
    <col collapsed="false" customWidth="true" hidden="false" outlineLevel="0" max="7" min="7" style="0" width="30"/>
    <col collapsed="false" customWidth="true" hidden="false" outlineLevel="0" max="8" min="8" style="0" width="40"/>
  </cols>
  <sheetData>
    <row r="1" customFormat="false" ht="17.35" hidden="false" customHeight="false" outlineLevel="0" collapsed="false">
      <c r="A1" s="1" t="s">
        <v>971</v>
      </c>
    </row>
    <row r="3" customFormat="false" ht="23.85" hidden="false" customHeight="false" outlineLevel="0" collapsed="false">
      <c r="A3" s="3" t="s">
        <v>49</v>
      </c>
      <c r="B3" s="3" t="s">
        <v>666</v>
      </c>
      <c r="C3" s="3" t="s">
        <v>972</v>
      </c>
      <c r="D3" s="3" t="s">
        <v>973</v>
      </c>
      <c r="E3" s="3" t="s">
        <v>974</v>
      </c>
      <c r="F3" s="3" t="s">
        <v>975</v>
      </c>
      <c r="G3" s="3" t="s">
        <v>976</v>
      </c>
      <c r="H3" s="3" t="s">
        <v>977</v>
      </c>
    </row>
    <row r="4" customFormat="false" ht="35.05" hidden="false" customHeight="false" outlineLevel="0" collapsed="false">
      <c r="A4" s="4" t="s">
        <v>685</v>
      </c>
      <c r="B4" s="4" t="s">
        <v>806</v>
      </c>
      <c r="C4" s="4" t="s">
        <v>978</v>
      </c>
      <c r="D4" s="4" t="s">
        <v>979</v>
      </c>
      <c r="E4" s="4" t="s">
        <v>980</v>
      </c>
      <c r="F4" s="4" t="s">
        <v>981</v>
      </c>
      <c r="G4" s="4" t="s">
        <v>982</v>
      </c>
      <c r="H4" s="4" t="s">
        <v>983</v>
      </c>
    </row>
    <row r="5" customFormat="false" ht="35.05" hidden="false" customHeight="false" outlineLevel="0" collapsed="false">
      <c r="A5" s="4" t="s">
        <v>688</v>
      </c>
      <c r="B5" s="4" t="s">
        <v>809</v>
      </c>
      <c r="C5" s="4" t="s">
        <v>984</v>
      </c>
      <c r="D5" s="4" t="s">
        <v>985</v>
      </c>
      <c r="E5" s="4" t="s">
        <v>986</v>
      </c>
      <c r="F5" s="4" t="s">
        <v>987</v>
      </c>
      <c r="G5" s="4" t="s">
        <v>988</v>
      </c>
      <c r="H5" s="4" t="s">
        <v>989</v>
      </c>
    </row>
    <row r="6" customFormat="false" ht="46.25" hidden="false" customHeight="false" outlineLevel="0" collapsed="false">
      <c r="A6" s="4" t="s">
        <v>706</v>
      </c>
      <c r="B6" s="4" t="s">
        <v>810</v>
      </c>
      <c r="C6" s="4" t="s">
        <v>990</v>
      </c>
      <c r="D6" s="4" t="s">
        <v>991</v>
      </c>
      <c r="E6" s="4" t="s">
        <v>992</v>
      </c>
      <c r="F6" s="4" t="s">
        <v>993</v>
      </c>
      <c r="G6" s="4" t="s">
        <v>994</v>
      </c>
      <c r="H6" s="4" t="s">
        <v>995</v>
      </c>
    </row>
    <row r="7" customFormat="false" ht="35.05" hidden="false" customHeight="false" outlineLevel="0" collapsed="false">
      <c r="A7" s="4" t="s">
        <v>702</v>
      </c>
      <c r="B7" s="4" t="s">
        <v>811</v>
      </c>
      <c r="C7" s="4" t="s">
        <v>996</v>
      </c>
      <c r="D7" s="4" t="s">
        <v>997</v>
      </c>
      <c r="E7" s="4" t="s">
        <v>998</v>
      </c>
      <c r="F7" s="4" t="s">
        <v>999</v>
      </c>
      <c r="G7" s="4" t="s">
        <v>1000</v>
      </c>
      <c r="H7" s="4" t="s">
        <v>1001</v>
      </c>
    </row>
    <row r="8" customFormat="false" ht="35.05" hidden="false" customHeight="false" outlineLevel="0" collapsed="false">
      <c r="A8" s="4" t="s">
        <v>720</v>
      </c>
      <c r="B8" s="4" t="s">
        <v>812</v>
      </c>
      <c r="C8" s="4" t="s">
        <v>1002</v>
      </c>
      <c r="D8" s="4" t="s">
        <v>1003</v>
      </c>
      <c r="E8" s="4" t="s">
        <v>1004</v>
      </c>
      <c r="F8" s="4" t="s">
        <v>1005</v>
      </c>
      <c r="G8" s="4" t="s">
        <v>1006</v>
      </c>
      <c r="H8" s="4" t="s">
        <v>1007</v>
      </c>
    </row>
    <row r="9" customFormat="false" ht="35.05" hidden="false" customHeight="false" outlineLevel="0" collapsed="false">
      <c r="A9" s="4" t="s">
        <v>717</v>
      </c>
      <c r="B9" s="4" t="s">
        <v>813</v>
      </c>
      <c r="C9" s="4" t="s">
        <v>1008</v>
      </c>
      <c r="D9" s="4" t="s">
        <v>1009</v>
      </c>
      <c r="E9" s="4" t="s">
        <v>1010</v>
      </c>
      <c r="F9" s="4" t="s">
        <v>1011</v>
      </c>
      <c r="G9" s="4" t="s">
        <v>1012</v>
      </c>
      <c r="H9" s="4" t="s">
        <v>1013</v>
      </c>
    </row>
    <row r="10" customFormat="false" ht="35.05" hidden="false" customHeight="false" outlineLevel="0" collapsed="false">
      <c r="A10" s="4" t="s">
        <v>696</v>
      </c>
      <c r="B10" s="4" t="s">
        <v>814</v>
      </c>
      <c r="C10" s="4" t="s">
        <v>1014</v>
      </c>
      <c r="D10" s="4" t="s">
        <v>1015</v>
      </c>
      <c r="E10" s="4" t="s">
        <v>1016</v>
      </c>
      <c r="F10" s="4" t="s">
        <v>1017</v>
      </c>
      <c r="G10" s="4" t="s">
        <v>1018</v>
      </c>
      <c r="H10" s="4" t="s">
        <v>1019</v>
      </c>
    </row>
    <row r="11" customFormat="false" ht="35.05" hidden="false" customHeight="false" outlineLevel="0" collapsed="false">
      <c r="A11" s="4" t="s">
        <v>723</v>
      </c>
      <c r="B11" s="4" t="s">
        <v>815</v>
      </c>
      <c r="C11" s="4" t="s">
        <v>1020</v>
      </c>
      <c r="D11" s="4" t="s">
        <v>1021</v>
      </c>
      <c r="E11" s="4" t="s">
        <v>1022</v>
      </c>
      <c r="F11" s="4" t="s">
        <v>1023</v>
      </c>
      <c r="G11" s="4" t="s">
        <v>1024</v>
      </c>
      <c r="H11" s="4" t="s">
        <v>1025</v>
      </c>
    </row>
    <row r="12" customFormat="false" ht="35.05" hidden="false" customHeight="false" outlineLevel="0" collapsed="false">
      <c r="A12" s="4" t="s">
        <v>732</v>
      </c>
      <c r="B12" s="4" t="s">
        <v>816</v>
      </c>
      <c r="C12" s="4" t="s">
        <v>1026</v>
      </c>
      <c r="D12" s="4" t="s">
        <v>1027</v>
      </c>
      <c r="E12" s="4" t="s">
        <v>1028</v>
      </c>
      <c r="F12" s="4" t="s">
        <v>1029</v>
      </c>
      <c r="G12" s="4" t="s">
        <v>1030</v>
      </c>
      <c r="H12" s="4" t="s">
        <v>1031</v>
      </c>
    </row>
    <row r="13" customFormat="false" ht="46.25" hidden="false" customHeight="false" outlineLevel="0" collapsed="false">
      <c r="A13" s="4" t="s">
        <v>750</v>
      </c>
      <c r="B13" s="4" t="s">
        <v>817</v>
      </c>
      <c r="C13" s="4" t="s">
        <v>1032</v>
      </c>
      <c r="D13" s="4" t="s">
        <v>1033</v>
      </c>
      <c r="E13" s="4" t="s">
        <v>1034</v>
      </c>
      <c r="F13" s="4" t="s">
        <v>1035</v>
      </c>
      <c r="G13" s="4" t="s">
        <v>1036</v>
      </c>
      <c r="H13" s="4" t="s">
        <v>1037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9" min="3" style="0" width="8"/>
    <col collapsed="false" customWidth="true" hidden="false" outlineLevel="0" max="15" min="10" style="0" width="10"/>
    <col collapsed="false" customWidth="true" hidden="false" outlineLevel="0" max="16" min="16" style="0" width="11"/>
    <col collapsed="false" customWidth="true" hidden="false" outlineLevel="0" max="17" min="17" style="0" width="30"/>
    <col collapsed="false" customWidth="true" hidden="false" outlineLevel="0" max="18" min="18" style="0" width="16"/>
    <col collapsed="false" customWidth="true" hidden="false" outlineLevel="0" max="21" min="19" style="0" width="12"/>
    <col collapsed="false" customWidth="true" hidden="false" outlineLevel="0" max="22" min="22" style="0" width="40"/>
    <col collapsed="false" customWidth="true" hidden="false" outlineLevel="0" max="24" min="23" style="0" width="12"/>
    <col collapsed="false" customWidth="true" hidden="false" outlineLevel="0" max="25" min="25" style="0" width="14"/>
    <col collapsed="false" customWidth="true" hidden="false" outlineLevel="0" max="26" min="26" style="0" width="44"/>
  </cols>
  <sheetData>
    <row r="1" customFormat="false" ht="17.35" hidden="false" customHeight="false" outlineLevel="0" collapsed="false">
      <c r="A1" s="1" t="s">
        <v>1038</v>
      </c>
    </row>
    <row r="2" customFormat="false" ht="15" hidden="false" customHeight="false" outlineLevel="0" collapsed="false">
      <c r="A2" s="2" t="s">
        <v>1039</v>
      </c>
    </row>
    <row r="4" customFormat="false" ht="46.25" hidden="false" customHeight="false" outlineLevel="0" collapsed="false">
      <c r="A4" s="3" t="s">
        <v>49</v>
      </c>
      <c r="B4" s="3" t="s">
        <v>1040</v>
      </c>
      <c r="C4" s="3" t="s">
        <v>1041</v>
      </c>
      <c r="D4" s="3" t="s">
        <v>1042</v>
      </c>
      <c r="E4" s="3" t="s">
        <v>1043</v>
      </c>
      <c r="F4" s="3" t="s">
        <v>1044</v>
      </c>
      <c r="G4" s="3" t="s">
        <v>1045</v>
      </c>
      <c r="H4" s="3" t="s">
        <v>1046</v>
      </c>
      <c r="I4" s="3" t="s">
        <v>1047</v>
      </c>
      <c r="J4" s="3" t="s">
        <v>1048</v>
      </c>
      <c r="K4" s="3" t="s">
        <v>1049</v>
      </c>
      <c r="L4" s="3" t="s">
        <v>1050</v>
      </c>
      <c r="M4" s="3" t="s">
        <v>1051</v>
      </c>
      <c r="N4" s="3" t="s">
        <v>1052</v>
      </c>
      <c r="O4" s="3" t="s">
        <v>1053</v>
      </c>
      <c r="P4" s="3" t="s">
        <v>1054</v>
      </c>
      <c r="Q4" s="3" t="s">
        <v>1055</v>
      </c>
      <c r="R4" s="3" t="s">
        <v>1056</v>
      </c>
      <c r="S4" s="3" t="s">
        <v>1057</v>
      </c>
      <c r="T4" s="3" t="s">
        <v>1058</v>
      </c>
      <c r="U4" s="3" t="s">
        <v>1059</v>
      </c>
      <c r="V4" s="3" t="s">
        <v>1060</v>
      </c>
      <c r="W4" s="3" t="s">
        <v>1061</v>
      </c>
      <c r="X4" s="3" t="s">
        <v>1062</v>
      </c>
      <c r="Y4" s="3" t="s">
        <v>1063</v>
      </c>
      <c r="Z4" s="3" t="s">
        <v>1064</v>
      </c>
    </row>
    <row r="5" customFormat="false" ht="79.85" hidden="false" customHeight="false" outlineLevel="0" collapsed="false">
      <c r="A5" s="4" t="s">
        <v>685</v>
      </c>
      <c r="B5" s="4" t="s">
        <v>849</v>
      </c>
      <c r="C5" s="4" t="s">
        <v>247</v>
      </c>
      <c r="D5" s="14" t="n">
        <v>0.85</v>
      </c>
      <c r="E5" s="14" t="n">
        <v>0.55</v>
      </c>
      <c r="F5" s="14" t="n">
        <v>0.55</v>
      </c>
      <c r="G5" s="14" t="n">
        <v>0.85</v>
      </c>
      <c r="H5" s="14" t="n">
        <v>0.4</v>
      </c>
      <c r="I5" s="14" t="n">
        <v>0.85</v>
      </c>
      <c r="J5" s="4" t="s">
        <v>1065</v>
      </c>
      <c r="K5" s="4" t="s">
        <v>1066</v>
      </c>
      <c r="L5" s="4" t="s">
        <v>1067</v>
      </c>
      <c r="M5" s="4" t="s">
        <v>1068</v>
      </c>
      <c r="N5" s="4" t="s">
        <v>1069</v>
      </c>
      <c r="O5" s="4" t="s">
        <v>1070</v>
      </c>
      <c r="P5" s="4" t="s">
        <v>700</v>
      </c>
      <c r="Q5" s="4" t="s">
        <v>1071</v>
      </c>
      <c r="R5" s="4" t="s">
        <v>1072</v>
      </c>
      <c r="S5" s="4" t="s">
        <v>683</v>
      </c>
      <c r="T5" s="4" t="s">
        <v>692</v>
      </c>
      <c r="U5" s="4" t="s">
        <v>683</v>
      </c>
      <c r="V5" s="4" t="s">
        <v>1073</v>
      </c>
      <c r="W5" s="4" t="s">
        <v>1074</v>
      </c>
      <c r="X5" s="4" t="s">
        <v>1075</v>
      </c>
      <c r="Y5" s="15" t="n">
        <v>376000</v>
      </c>
      <c r="Z5" s="4" t="s">
        <v>847</v>
      </c>
    </row>
    <row r="6" customFormat="false" ht="113.4" hidden="false" customHeight="false" outlineLevel="0" collapsed="false">
      <c r="A6" s="4" t="s">
        <v>688</v>
      </c>
      <c r="B6" s="4" t="s">
        <v>863</v>
      </c>
      <c r="C6" s="4" t="s">
        <v>258</v>
      </c>
      <c r="D6" s="14" t="n">
        <v>0.75</v>
      </c>
      <c r="E6" s="14" t="n">
        <v>0.5</v>
      </c>
      <c r="F6" s="14" t="n">
        <v>0.7</v>
      </c>
      <c r="G6" s="14" t="n">
        <v>0.95</v>
      </c>
      <c r="H6" s="14" t="n">
        <v>0.35</v>
      </c>
      <c r="I6" s="14" t="n">
        <v>0.95</v>
      </c>
      <c r="J6" s="4" t="s">
        <v>1076</v>
      </c>
      <c r="K6" s="4" t="s">
        <v>1077</v>
      </c>
      <c r="L6" s="4" t="s">
        <v>1078</v>
      </c>
      <c r="M6" s="4" t="s">
        <v>1079</v>
      </c>
      <c r="N6" s="4" t="s">
        <v>1080</v>
      </c>
      <c r="O6" s="4" t="s">
        <v>1081</v>
      </c>
      <c r="P6" s="4" t="s">
        <v>700</v>
      </c>
      <c r="Q6" s="4" t="s">
        <v>1082</v>
      </c>
      <c r="R6" s="4" t="s">
        <v>1072</v>
      </c>
      <c r="S6" s="4" t="s">
        <v>683</v>
      </c>
      <c r="T6" s="4" t="s">
        <v>683</v>
      </c>
      <c r="U6" s="4" t="s">
        <v>1083</v>
      </c>
      <c r="V6" s="4" t="s">
        <v>1084</v>
      </c>
      <c r="W6" s="4" t="s">
        <v>1075</v>
      </c>
      <c r="X6" s="4" t="s">
        <v>1075</v>
      </c>
      <c r="Y6" s="15" t="n">
        <v>732000</v>
      </c>
      <c r="Z6" s="4" t="s">
        <v>861</v>
      </c>
    </row>
    <row r="7" customFormat="false" ht="79.85" hidden="false" customHeight="false" outlineLevel="0" collapsed="false">
      <c r="A7" s="4" t="s">
        <v>706</v>
      </c>
      <c r="B7" s="4" t="s">
        <v>876</v>
      </c>
      <c r="C7" s="4" t="s">
        <v>309</v>
      </c>
      <c r="D7" s="14" t="n">
        <v>0.8</v>
      </c>
      <c r="E7" s="14" t="n">
        <v>0.5</v>
      </c>
      <c r="F7" s="14" t="n">
        <v>0.6</v>
      </c>
      <c r="G7" s="14" t="n">
        <v>0.9</v>
      </c>
      <c r="H7" s="14" t="n">
        <v>0.4</v>
      </c>
      <c r="I7" s="14" t="n">
        <v>0.85</v>
      </c>
      <c r="J7" s="4" t="s">
        <v>1085</v>
      </c>
      <c r="K7" s="4" t="s">
        <v>1086</v>
      </c>
      <c r="L7" s="4" t="s">
        <v>1087</v>
      </c>
      <c r="M7" s="4" t="s">
        <v>1088</v>
      </c>
      <c r="N7" s="4" t="s">
        <v>1069</v>
      </c>
      <c r="O7" s="4" t="s">
        <v>1070</v>
      </c>
      <c r="P7" s="4" t="s">
        <v>700</v>
      </c>
      <c r="Q7" s="4" t="s">
        <v>1089</v>
      </c>
      <c r="R7" s="4" t="s">
        <v>1072</v>
      </c>
      <c r="S7" s="4" t="s">
        <v>683</v>
      </c>
      <c r="T7" s="4" t="s">
        <v>683</v>
      </c>
      <c r="U7" s="4" t="s">
        <v>683</v>
      </c>
      <c r="V7" s="4" t="s">
        <v>1090</v>
      </c>
      <c r="W7" s="4" t="s">
        <v>1091</v>
      </c>
      <c r="X7" s="4" t="s">
        <v>1092</v>
      </c>
      <c r="Y7" s="15" t="n">
        <v>365000</v>
      </c>
      <c r="Z7" s="4" t="s">
        <v>875</v>
      </c>
    </row>
    <row r="8" customFormat="false" ht="68.65" hidden="false" customHeight="false" outlineLevel="0" collapsed="false">
      <c r="A8" s="4" t="s">
        <v>702</v>
      </c>
      <c r="B8" s="4" t="s">
        <v>890</v>
      </c>
      <c r="C8" s="4" t="s">
        <v>328</v>
      </c>
      <c r="D8" s="14" t="n">
        <v>0.45</v>
      </c>
      <c r="E8" s="14" t="n">
        <v>0.5</v>
      </c>
      <c r="F8" s="14" t="n">
        <v>0.55</v>
      </c>
      <c r="G8" s="14" t="n">
        <v>0.95</v>
      </c>
      <c r="H8" s="14" t="n">
        <v>0.35</v>
      </c>
      <c r="I8" s="14" t="n">
        <v>0.9</v>
      </c>
      <c r="J8" s="4" t="s">
        <v>1093</v>
      </c>
      <c r="K8" s="4" t="s">
        <v>1094</v>
      </c>
      <c r="L8" s="4" t="s">
        <v>1066</v>
      </c>
      <c r="M8" s="4" t="s">
        <v>1095</v>
      </c>
      <c r="N8" s="4" t="s">
        <v>1096</v>
      </c>
      <c r="O8" s="4" t="s">
        <v>1097</v>
      </c>
      <c r="P8" s="4" t="s">
        <v>700</v>
      </c>
      <c r="Q8" s="4" t="s">
        <v>1098</v>
      </c>
      <c r="R8" s="4" t="s">
        <v>1072</v>
      </c>
      <c r="S8" s="4" t="s">
        <v>692</v>
      </c>
      <c r="T8" s="4" t="s">
        <v>692</v>
      </c>
      <c r="U8" s="4" t="s">
        <v>1083</v>
      </c>
      <c r="V8" s="4" t="s">
        <v>1099</v>
      </c>
      <c r="W8" s="4" t="s">
        <v>1100</v>
      </c>
      <c r="X8" s="4" t="s">
        <v>1101</v>
      </c>
      <c r="Y8" s="15" t="n">
        <v>655000</v>
      </c>
      <c r="Z8" s="4" t="s">
        <v>888</v>
      </c>
    </row>
    <row r="9" customFormat="false" ht="124.6" hidden="false" customHeight="false" outlineLevel="0" collapsed="false">
      <c r="A9" s="4" t="s">
        <v>720</v>
      </c>
      <c r="B9" s="4" t="s">
        <v>904</v>
      </c>
      <c r="C9" s="4" t="s">
        <v>360</v>
      </c>
      <c r="D9" s="14" t="n">
        <v>0.3</v>
      </c>
      <c r="E9" s="14" t="n">
        <v>0.4</v>
      </c>
      <c r="F9" s="14" t="n">
        <v>0.55</v>
      </c>
      <c r="G9" s="14" t="n">
        <v>0.95</v>
      </c>
      <c r="H9" s="14" t="n">
        <v>0.4</v>
      </c>
      <c r="I9" s="14" t="n">
        <v>0.95</v>
      </c>
      <c r="J9" s="4" t="s">
        <v>1102</v>
      </c>
      <c r="K9" s="4" t="s">
        <v>1069</v>
      </c>
      <c r="L9" s="4" t="s">
        <v>1103</v>
      </c>
      <c r="M9" s="4" t="s">
        <v>1081</v>
      </c>
      <c r="N9" s="4" t="s">
        <v>1069</v>
      </c>
      <c r="O9" s="4" t="s">
        <v>1081</v>
      </c>
      <c r="P9" s="4" t="s">
        <v>700</v>
      </c>
      <c r="Q9" s="4" t="s">
        <v>1104</v>
      </c>
      <c r="R9" s="4" t="s">
        <v>1072</v>
      </c>
      <c r="S9" s="4" t="s">
        <v>700</v>
      </c>
      <c r="T9" s="4" t="s">
        <v>692</v>
      </c>
      <c r="U9" s="4" t="s">
        <v>1083</v>
      </c>
      <c r="V9" s="4" t="s">
        <v>1105</v>
      </c>
      <c r="W9" s="4" t="s">
        <v>1106</v>
      </c>
      <c r="X9" s="4" t="s">
        <v>1075</v>
      </c>
      <c r="Y9" s="15" t="n">
        <v>569000</v>
      </c>
      <c r="Z9" s="4" t="s">
        <v>902</v>
      </c>
    </row>
    <row r="10" customFormat="false" ht="68.65" hidden="false" customHeight="false" outlineLevel="0" collapsed="false">
      <c r="A10" s="4" t="s">
        <v>717</v>
      </c>
      <c r="B10" s="4" t="s">
        <v>349</v>
      </c>
      <c r="C10" s="4" t="s">
        <v>349</v>
      </c>
      <c r="D10" s="14" t="n">
        <v>0.6</v>
      </c>
      <c r="E10" s="14" t="n">
        <v>0.55</v>
      </c>
      <c r="F10" s="14" t="n">
        <v>0.45</v>
      </c>
      <c r="G10" s="14" t="n">
        <v>0.75</v>
      </c>
      <c r="H10" s="14" t="n">
        <v>0.4</v>
      </c>
      <c r="I10" s="14" t="n">
        <v>0.8</v>
      </c>
      <c r="J10" s="4" t="s">
        <v>1087</v>
      </c>
      <c r="K10" s="4" t="s">
        <v>1067</v>
      </c>
      <c r="L10" s="4" t="s">
        <v>1107</v>
      </c>
      <c r="M10" s="4" t="s">
        <v>1108</v>
      </c>
      <c r="N10" s="4" t="s">
        <v>1069</v>
      </c>
      <c r="O10" s="4" t="s">
        <v>1109</v>
      </c>
      <c r="P10" s="4" t="s">
        <v>692</v>
      </c>
      <c r="Q10" s="4" t="s">
        <v>1110</v>
      </c>
      <c r="R10" s="4" t="s">
        <v>1072</v>
      </c>
      <c r="S10" s="4" t="s">
        <v>692</v>
      </c>
      <c r="T10" s="4" t="s">
        <v>700</v>
      </c>
      <c r="U10" s="4" t="s">
        <v>683</v>
      </c>
      <c r="V10" s="4" t="s">
        <v>1111</v>
      </c>
      <c r="W10" s="4" t="s">
        <v>1112</v>
      </c>
      <c r="X10" s="4" t="s">
        <v>1113</v>
      </c>
      <c r="Y10" s="15" t="n">
        <v>147000</v>
      </c>
      <c r="Z10" s="4" t="s">
        <v>916</v>
      </c>
    </row>
    <row r="11" customFormat="false" ht="91" hidden="false" customHeight="false" outlineLevel="0" collapsed="false">
      <c r="A11" s="4" t="s">
        <v>696</v>
      </c>
      <c r="B11" s="4" t="s">
        <v>931</v>
      </c>
      <c r="C11" s="4" t="s">
        <v>280</v>
      </c>
      <c r="D11" s="14" t="n">
        <v>0.6</v>
      </c>
      <c r="E11" s="14" t="n">
        <v>0.45</v>
      </c>
      <c r="F11" s="14" t="n">
        <v>0.55</v>
      </c>
      <c r="G11" s="14" t="n">
        <v>0.8</v>
      </c>
      <c r="H11" s="14" t="n">
        <v>0.4</v>
      </c>
      <c r="I11" s="14" t="n">
        <v>0.75</v>
      </c>
      <c r="J11" s="4" t="s">
        <v>1114</v>
      </c>
      <c r="K11" s="4" t="s">
        <v>1107</v>
      </c>
      <c r="L11" s="4" t="s">
        <v>1066</v>
      </c>
      <c r="M11" s="4" t="s">
        <v>1085</v>
      </c>
      <c r="N11" s="4" t="s">
        <v>1069</v>
      </c>
      <c r="O11" s="4" t="s">
        <v>1115</v>
      </c>
      <c r="P11" s="4" t="s">
        <v>700</v>
      </c>
      <c r="Q11" s="4" t="s">
        <v>1098</v>
      </c>
      <c r="R11" s="4" t="s">
        <v>1072</v>
      </c>
      <c r="S11" s="4" t="s">
        <v>683</v>
      </c>
      <c r="T11" s="4" t="s">
        <v>700</v>
      </c>
      <c r="U11" s="4" t="s">
        <v>683</v>
      </c>
      <c r="V11" s="4" t="s">
        <v>1116</v>
      </c>
      <c r="W11" s="4" t="s">
        <v>1091</v>
      </c>
      <c r="X11" s="4" t="s">
        <v>1106</v>
      </c>
      <c r="Y11" s="15" t="n">
        <v>453000</v>
      </c>
      <c r="Z11" s="4" t="s">
        <v>929</v>
      </c>
    </row>
    <row r="12" customFormat="false" ht="79.85" hidden="false" customHeight="false" outlineLevel="0" collapsed="false">
      <c r="A12" s="4" t="s">
        <v>723</v>
      </c>
      <c r="B12" s="4" t="s">
        <v>943</v>
      </c>
      <c r="C12" s="4" t="s">
        <v>370</v>
      </c>
      <c r="D12" s="14" t="n">
        <v>0.55</v>
      </c>
      <c r="E12" s="14" t="n">
        <v>0.45</v>
      </c>
      <c r="F12" s="14" t="n">
        <v>0.6</v>
      </c>
      <c r="G12" s="14" t="n">
        <v>0.9</v>
      </c>
      <c r="H12" s="14" t="n">
        <v>0.35</v>
      </c>
      <c r="I12" s="14" t="n">
        <v>0.85</v>
      </c>
      <c r="J12" s="4" t="s">
        <v>1117</v>
      </c>
      <c r="K12" s="4" t="s">
        <v>1118</v>
      </c>
      <c r="L12" s="4" t="s">
        <v>1087</v>
      </c>
      <c r="M12" s="4" t="s">
        <v>1079</v>
      </c>
      <c r="N12" s="4" t="s">
        <v>1119</v>
      </c>
      <c r="O12" s="4" t="s">
        <v>1070</v>
      </c>
      <c r="P12" s="4" t="s">
        <v>700</v>
      </c>
      <c r="Q12" s="4" t="s">
        <v>1120</v>
      </c>
      <c r="R12" s="4" t="s">
        <v>1072</v>
      </c>
      <c r="S12" s="4" t="s">
        <v>692</v>
      </c>
      <c r="T12" s="4" t="s">
        <v>683</v>
      </c>
      <c r="U12" s="4" t="s">
        <v>1083</v>
      </c>
      <c r="V12" s="4" t="s">
        <v>1121</v>
      </c>
      <c r="W12" s="4" t="s">
        <v>1122</v>
      </c>
      <c r="X12" s="4" t="s">
        <v>1106</v>
      </c>
      <c r="Y12" s="15" t="n">
        <v>348000</v>
      </c>
      <c r="Z12" s="4" t="s">
        <v>942</v>
      </c>
    </row>
    <row r="13" customFormat="false" ht="35.05" hidden="false" customHeight="false" outlineLevel="0" collapsed="false">
      <c r="A13" s="4" t="s">
        <v>732</v>
      </c>
      <c r="B13" s="4" t="s">
        <v>396</v>
      </c>
      <c r="C13" s="4" t="s">
        <v>396</v>
      </c>
      <c r="D13" s="14" t="n">
        <v>0.35</v>
      </c>
      <c r="E13" s="14" t="n">
        <v>0.5</v>
      </c>
      <c r="F13" s="14" t="n">
        <v>0.55</v>
      </c>
      <c r="G13" s="14" t="n">
        <v>0.85</v>
      </c>
      <c r="H13" s="14" t="n">
        <v>0.35</v>
      </c>
      <c r="I13" s="14" t="n">
        <v>0.95</v>
      </c>
      <c r="J13" s="4" t="s">
        <v>1119</v>
      </c>
      <c r="K13" s="4" t="s">
        <v>1123</v>
      </c>
      <c r="L13" s="4" t="s">
        <v>1067</v>
      </c>
      <c r="M13" s="4" t="s">
        <v>1070</v>
      </c>
      <c r="N13" s="4" t="s">
        <v>1119</v>
      </c>
      <c r="O13" s="4" t="s">
        <v>1124</v>
      </c>
      <c r="P13" s="4" t="s">
        <v>700</v>
      </c>
      <c r="Q13" s="4" t="s">
        <v>1125</v>
      </c>
      <c r="R13" s="4" t="s">
        <v>1072</v>
      </c>
      <c r="S13" s="4" t="s">
        <v>692</v>
      </c>
      <c r="T13" s="4" t="s">
        <v>1126</v>
      </c>
      <c r="U13" s="4" t="s">
        <v>1083</v>
      </c>
      <c r="V13" s="4" t="s">
        <v>1127</v>
      </c>
      <c r="W13" s="4" t="s">
        <v>1128</v>
      </c>
      <c r="X13" s="4" t="s">
        <v>1129</v>
      </c>
      <c r="Y13" s="15" t="n">
        <v>492000</v>
      </c>
      <c r="Z13" s="4" t="s">
        <v>955</v>
      </c>
    </row>
    <row r="14" customFormat="false" ht="46.25" hidden="false" customHeight="false" outlineLevel="0" collapsed="false">
      <c r="A14" s="4" t="s">
        <v>750</v>
      </c>
      <c r="B14" s="4" t="s">
        <v>970</v>
      </c>
      <c r="C14" s="4" t="s">
        <v>508</v>
      </c>
      <c r="D14" s="14" t="n">
        <v>0.8</v>
      </c>
      <c r="E14" s="14" t="n">
        <v>0.55</v>
      </c>
      <c r="F14" s="14" t="n">
        <v>0.35</v>
      </c>
      <c r="G14" s="14" t="n">
        <v>0.65</v>
      </c>
      <c r="H14" s="14" t="n">
        <v>0.4</v>
      </c>
      <c r="I14" s="14" t="n">
        <v>0.7</v>
      </c>
      <c r="J14" s="4" t="s">
        <v>1130</v>
      </c>
      <c r="K14" s="4" t="s">
        <v>1131</v>
      </c>
      <c r="L14" s="4" t="s">
        <v>1132</v>
      </c>
      <c r="M14" s="4" t="s">
        <v>1133</v>
      </c>
      <c r="N14" s="4" t="s">
        <v>1134</v>
      </c>
      <c r="O14" s="4" t="s">
        <v>1078</v>
      </c>
      <c r="P14" s="4" t="s">
        <v>700</v>
      </c>
      <c r="Q14" s="4" t="s">
        <v>1135</v>
      </c>
      <c r="R14" s="4" t="s">
        <v>1072</v>
      </c>
      <c r="S14" s="4" t="s">
        <v>1083</v>
      </c>
      <c r="T14" s="4" t="s">
        <v>700</v>
      </c>
      <c r="U14" s="4" t="s">
        <v>692</v>
      </c>
      <c r="V14" s="4" t="s">
        <v>1136</v>
      </c>
      <c r="W14" s="4" t="s">
        <v>1137</v>
      </c>
      <c r="X14" s="4" t="s">
        <v>1138</v>
      </c>
      <c r="Y14" s="15" t="n">
        <v>301000</v>
      </c>
      <c r="Z14" s="4" t="s">
        <v>968</v>
      </c>
    </row>
    <row r="17" customFormat="false" ht="15" hidden="false" customHeight="false" outlineLevel="0" collapsed="false">
      <c r="A17" s="2" t="s">
        <v>1139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16" min="3" style="0" width="9"/>
    <col collapsed="false" customWidth="true" hidden="false" outlineLevel="0" max="17" min="17" style="0" width="60"/>
  </cols>
  <sheetData>
    <row r="1" customFormat="false" ht="17.35" hidden="false" customHeight="false" outlineLevel="0" collapsed="false">
      <c r="A1" s="1" t="s">
        <v>1140</v>
      </c>
    </row>
    <row r="2" customFormat="false" ht="15" hidden="false" customHeight="false" outlineLevel="0" collapsed="false">
      <c r="A2" s="2" t="s">
        <v>1141</v>
      </c>
    </row>
    <row r="3" customFormat="false" ht="46.25" hidden="false" customHeight="false" outlineLevel="0" collapsed="false">
      <c r="A3" s="3" t="s">
        <v>49</v>
      </c>
      <c r="B3" s="3" t="s">
        <v>666</v>
      </c>
      <c r="C3" s="3" t="s">
        <v>1142</v>
      </c>
      <c r="D3" s="3" t="s">
        <v>1143</v>
      </c>
      <c r="E3" s="3" t="s">
        <v>1144</v>
      </c>
      <c r="F3" s="3" t="s">
        <v>1145</v>
      </c>
      <c r="G3" s="3" t="s">
        <v>1146</v>
      </c>
      <c r="H3" s="3" t="s">
        <v>1147</v>
      </c>
      <c r="I3" s="3" t="s">
        <v>1148</v>
      </c>
      <c r="J3" s="3" t="s">
        <v>1149</v>
      </c>
      <c r="K3" s="3" t="s">
        <v>104</v>
      </c>
      <c r="L3" s="3" t="s">
        <v>1150</v>
      </c>
      <c r="M3" s="3" t="s">
        <v>1151</v>
      </c>
      <c r="N3" s="3" t="s">
        <v>1152</v>
      </c>
      <c r="O3" s="3" t="s">
        <v>1153</v>
      </c>
      <c r="P3" s="3" t="s">
        <v>1154</v>
      </c>
      <c r="Q3" s="3" t="s">
        <v>1155</v>
      </c>
    </row>
    <row r="4" customFormat="false" ht="35.05" hidden="false" customHeight="false" outlineLevel="0" collapsed="false">
      <c r="A4" s="4" t="s">
        <v>685</v>
      </c>
      <c r="B4" s="4" t="s">
        <v>806</v>
      </c>
      <c r="C4" s="16" t="s">
        <v>277</v>
      </c>
      <c r="D4" s="17" t="s">
        <v>1156</v>
      </c>
      <c r="E4" s="17" t="s">
        <v>1156</v>
      </c>
      <c r="F4" s="16" t="s">
        <v>277</v>
      </c>
      <c r="G4" s="16" t="s">
        <v>277</v>
      </c>
      <c r="H4" s="17" t="s">
        <v>1156</v>
      </c>
      <c r="I4" s="11" t="s">
        <v>379</v>
      </c>
      <c r="J4" s="11" t="s">
        <v>379</v>
      </c>
      <c r="K4" s="11" t="s">
        <v>379</v>
      </c>
      <c r="L4" s="16" t="s">
        <v>277</v>
      </c>
      <c r="M4" s="11" t="s">
        <v>379</v>
      </c>
      <c r="N4" s="11" t="s">
        <v>379</v>
      </c>
      <c r="O4" s="11" t="s">
        <v>379</v>
      </c>
      <c r="P4" s="16" t="s">
        <v>277</v>
      </c>
      <c r="Q4" s="4" t="s">
        <v>1157</v>
      </c>
    </row>
    <row r="5" customFormat="false" ht="35.05" hidden="false" customHeight="false" outlineLevel="0" collapsed="false">
      <c r="A5" s="4" t="s">
        <v>688</v>
      </c>
      <c r="B5" s="4" t="s">
        <v>809</v>
      </c>
      <c r="C5" s="17" t="s">
        <v>1156</v>
      </c>
      <c r="D5" s="17" t="s">
        <v>1156</v>
      </c>
      <c r="E5" s="17" t="s">
        <v>1156</v>
      </c>
      <c r="F5" s="17" t="s">
        <v>1156</v>
      </c>
      <c r="G5" s="17" t="s">
        <v>1156</v>
      </c>
      <c r="H5" s="17" t="s">
        <v>1156</v>
      </c>
      <c r="I5" s="17" t="s">
        <v>1156</v>
      </c>
      <c r="J5" s="16" t="s">
        <v>277</v>
      </c>
      <c r="K5" s="16" t="s">
        <v>277</v>
      </c>
      <c r="L5" s="16" t="s">
        <v>277</v>
      </c>
      <c r="M5" s="16" t="s">
        <v>277</v>
      </c>
      <c r="N5" s="17" t="s">
        <v>1156</v>
      </c>
      <c r="O5" s="16" t="s">
        <v>277</v>
      </c>
      <c r="P5" s="17" t="s">
        <v>1156</v>
      </c>
      <c r="Q5" s="4" t="s">
        <v>1158</v>
      </c>
    </row>
    <row r="6" customFormat="false" ht="46.25" hidden="false" customHeight="false" outlineLevel="0" collapsed="false">
      <c r="A6" s="4" t="s">
        <v>706</v>
      </c>
      <c r="B6" s="4" t="s">
        <v>810</v>
      </c>
      <c r="C6" s="16" t="s">
        <v>277</v>
      </c>
      <c r="D6" s="17" t="s">
        <v>1156</v>
      </c>
      <c r="E6" s="17" t="s">
        <v>1156</v>
      </c>
      <c r="F6" s="16" t="s">
        <v>277</v>
      </c>
      <c r="G6" s="11" t="s">
        <v>379</v>
      </c>
      <c r="H6" s="11" t="s">
        <v>379</v>
      </c>
      <c r="I6" s="11" t="s">
        <v>379</v>
      </c>
      <c r="J6" s="16" t="s">
        <v>277</v>
      </c>
      <c r="K6" s="11" t="s">
        <v>379</v>
      </c>
      <c r="L6" s="16" t="s">
        <v>277</v>
      </c>
      <c r="M6" s="16" t="s">
        <v>277</v>
      </c>
      <c r="N6" s="11" t="s">
        <v>379</v>
      </c>
      <c r="O6" s="11" t="s">
        <v>379</v>
      </c>
      <c r="P6" s="11" t="s">
        <v>379</v>
      </c>
      <c r="Q6" s="4" t="s">
        <v>1159</v>
      </c>
    </row>
    <row r="7" customFormat="false" ht="35.05" hidden="false" customHeight="false" outlineLevel="0" collapsed="false">
      <c r="A7" s="4" t="s">
        <v>702</v>
      </c>
      <c r="B7" s="4" t="s">
        <v>811</v>
      </c>
      <c r="C7" s="16" t="s">
        <v>277</v>
      </c>
      <c r="D7" s="17" t="s">
        <v>1156</v>
      </c>
      <c r="E7" s="17" t="s">
        <v>1156</v>
      </c>
      <c r="F7" s="16" t="s">
        <v>277</v>
      </c>
      <c r="G7" s="17" t="s">
        <v>1156</v>
      </c>
      <c r="H7" s="11" t="s">
        <v>379</v>
      </c>
      <c r="I7" s="11" t="s">
        <v>379</v>
      </c>
      <c r="J7" s="16" t="s">
        <v>277</v>
      </c>
      <c r="K7" s="11" t="s">
        <v>379</v>
      </c>
      <c r="L7" s="16" t="s">
        <v>277</v>
      </c>
      <c r="M7" s="16" t="s">
        <v>277</v>
      </c>
      <c r="N7" s="16" t="s">
        <v>277</v>
      </c>
      <c r="O7" s="17" t="s">
        <v>1156</v>
      </c>
      <c r="P7" s="17" t="s">
        <v>1156</v>
      </c>
      <c r="Q7" s="4" t="s">
        <v>1160</v>
      </c>
    </row>
    <row r="8" customFormat="false" ht="35.05" hidden="false" customHeight="false" outlineLevel="0" collapsed="false">
      <c r="A8" s="4" t="s">
        <v>720</v>
      </c>
      <c r="B8" s="4" t="s">
        <v>812</v>
      </c>
      <c r="C8" s="16" t="s">
        <v>277</v>
      </c>
      <c r="D8" s="17" t="s">
        <v>1156</v>
      </c>
      <c r="E8" s="16" t="s">
        <v>277</v>
      </c>
      <c r="F8" s="16" t="s">
        <v>277</v>
      </c>
      <c r="G8" s="17" t="s">
        <v>1156</v>
      </c>
      <c r="H8" s="17" t="s">
        <v>1156</v>
      </c>
      <c r="I8" s="17" t="s">
        <v>1156</v>
      </c>
      <c r="J8" s="16" t="s">
        <v>277</v>
      </c>
      <c r="K8" s="11" t="s">
        <v>379</v>
      </c>
      <c r="L8" s="16" t="s">
        <v>277</v>
      </c>
      <c r="M8" s="11" t="s">
        <v>379</v>
      </c>
      <c r="N8" s="11" t="s">
        <v>379</v>
      </c>
      <c r="O8" s="16" t="s">
        <v>277</v>
      </c>
      <c r="P8" s="16" t="s">
        <v>277</v>
      </c>
      <c r="Q8" s="4" t="s">
        <v>1161</v>
      </c>
    </row>
    <row r="9" customFormat="false" ht="35.05" hidden="false" customHeight="false" outlineLevel="0" collapsed="false">
      <c r="A9" s="4" t="s">
        <v>717</v>
      </c>
      <c r="B9" s="4" t="s">
        <v>813</v>
      </c>
      <c r="C9" s="16" t="s">
        <v>277</v>
      </c>
      <c r="D9" s="17" t="s">
        <v>1156</v>
      </c>
      <c r="E9" s="16" t="s">
        <v>277</v>
      </c>
      <c r="F9" s="16" t="s">
        <v>277</v>
      </c>
      <c r="G9" s="16" t="s">
        <v>277</v>
      </c>
      <c r="H9" s="17" t="s">
        <v>1156</v>
      </c>
      <c r="I9" s="17" t="s">
        <v>1156</v>
      </c>
      <c r="J9" s="17" t="s">
        <v>1156</v>
      </c>
      <c r="K9" s="11" t="s">
        <v>379</v>
      </c>
      <c r="L9" s="16" t="s">
        <v>277</v>
      </c>
      <c r="M9" s="11" t="s">
        <v>379</v>
      </c>
      <c r="N9" s="11" t="s">
        <v>379</v>
      </c>
      <c r="O9" s="11" t="s">
        <v>379</v>
      </c>
      <c r="P9" s="16" t="s">
        <v>277</v>
      </c>
      <c r="Q9" s="4" t="s">
        <v>1162</v>
      </c>
    </row>
    <row r="10" customFormat="false" ht="35.05" hidden="false" customHeight="false" outlineLevel="0" collapsed="false">
      <c r="A10" s="4" t="s">
        <v>696</v>
      </c>
      <c r="B10" s="4" t="s">
        <v>814</v>
      </c>
      <c r="C10" s="16" t="s">
        <v>277</v>
      </c>
      <c r="D10" s="17" t="s">
        <v>1156</v>
      </c>
      <c r="E10" s="17" t="s">
        <v>1156</v>
      </c>
      <c r="F10" s="16" t="s">
        <v>277</v>
      </c>
      <c r="G10" s="16" t="s">
        <v>277</v>
      </c>
      <c r="H10" s="17" t="s">
        <v>1156</v>
      </c>
      <c r="I10" s="17" t="s">
        <v>1156</v>
      </c>
      <c r="J10" s="17" t="s">
        <v>1156</v>
      </c>
      <c r="K10" s="11" t="s">
        <v>379</v>
      </c>
      <c r="L10" s="16" t="s">
        <v>277</v>
      </c>
      <c r="M10" s="16" t="s">
        <v>277</v>
      </c>
      <c r="N10" s="11" t="s">
        <v>379</v>
      </c>
      <c r="O10" s="11" t="s">
        <v>379</v>
      </c>
      <c r="P10" s="16" t="s">
        <v>277</v>
      </c>
      <c r="Q10" s="4" t="s">
        <v>1163</v>
      </c>
    </row>
    <row r="11" customFormat="false" ht="35.05" hidden="false" customHeight="false" outlineLevel="0" collapsed="false">
      <c r="A11" s="4" t="s">
        <v>723</v>
      </c>
      <c r="B11" s="4" t="s">
        <v>815</v>
      </c>
      <c r="C11" s="17" t="s">
        <v>1156</v>
      </c>
      <c r="D11" s="17" t="s">
        <v>1156</v>
      </c>
      <c r="E11" s="17" t="s">
        <v>1156</v>
      </c>
      <c r="F11" s="17" t="s">
        <v>1156</v>
      </c>
      <c r="G11" s="16" t="s">
        <v>277</v>
      </c>
      <c r="H11" s="16" t="s">
        <v>277</v>
      </c>
      <c r="I11" s="17" t="s">
        <v>1156</v>
      </c>
      <c r="J11" s="16" t="s">
        <v>277</v>
      </c>
      <c r="K11" s="17" t="s">
        <v>1156</v>
      </c>
      <c r="L11" s="16" t="s">
        <v>277</v>
      </c>
      <c r="M11" s="17" t="s">
        <v>1156</v>
      </c>
      <c r="N11" s="16" t="s">
        <v>277</v>
      </c>
      <c r="O11" s="16" t="s">
        <v>277</v>
      </c>
      <c r="P11" s="11" t="s">
        <v>379</v>
      </c>
      <c r="Q11" s="4" t="s">
        <v>1164</v>
      </c>
    </row>
    <row r="12" customFormat="false" ht="35.05" hidden="false" customHeight="false" outlineLevel="0" collapsed="false">
      <c r="A12" s="4" t="s">
        <v>732</v>
      </c>
      <c r="B12" s="4" t="s">
        <v>816</v>
      </c>
      <c r="C12" s="17" t="s">
        <v>1156</v>
      </c>
      <c r="D12" s="16" t="s">
        <v>277</v>
      </c>
      <c r="E12" s="17" t="s">
        <v>1156</v>
      </c>
      <c r="F12" s="17" t="s">
        <v>1156</v>
      </c>
      <c r="G12" s="17" t="s">
        <v>1156</v>
      </c>
      <c r="H12" s="11" t="s">
        <v>379</v>
      </c>
      <c r="I12" s="11" t="s">
        <v>379</v>
      </c>
      <c r="J12" s="11" t="s">
        <v>379</v>
      </c>
      <c r="K12" s="17" t="s">
        <v>1156</v>
      </c>
      <c r="L12" s="16" t="s">
        <v>277</v>
      </c>
      <c r="M12" s="16" t="s">
        <v>277</v>
      </c>
      <c r="N12" s="17" t="s">
        <v>1156</v>
      </c>
      <c r="O12" s="11" t="s">
        <v>379</v>
      </c>
      <c r="P12" s="17" t="s">
        <v>1156</v>
      </c>
      <c r="Q12" s="4" t="s">
        <v>1165</v>
      </c>
    </row>
    <row r="13" customFormat="false" ht="46.25" hidden="false" customHeight="false" outlineLevel="0" collapsed="false">
      <c r="A13" s="4" t="s">
        <v>750</v>
      </c>
      <c r="B13" s="4" t="s">
        <v>817</v>
      </c>
      <c r="C13" s="17" t="s">
        <v>1156</v>
      </c>
      <c r="D13" s="17" t="s">
        <v>1156</v>
      </c>
      <c r="E13" s="16" t="s">
        <v>277</v>
      </c>
      <c r="F13" s="16" t="s">
        <v>277</v>
      </c>
      <c r="G13" s="17" t="s">
        <v>1156</v>
      </c>
      <c r="H13" s="17" t="s">
        <v>1156</v>
      </c>
      <c r="I13" s="17" t="s">
        <v>1156</v>
      </c>
      <c r="J13" s="17" t="s">
        <v>1156</v>
      </c>
      <c r="K13" s="11" t="s">
        <v>379</v>
      </c>
      <c r="L13" s="16" t="s">
        <v>277</v>
      </c>
      <c r="M13" s="16" t="s">
        <v>277</v>
      </c>
      <c r="N13" s="11" t="s">
        <v>379</v>
      </c>
      <c r="O13" s="11" t="s">
        <v>379</v>
      </c>
      <c r="P13" s="16" t="s">
        <v>277</v>
      </c>
      <c r="Q13" s="4" t="s">
        <v>1166</v>
      </c>
    </row>
    <row r="15" customFormat="false" ht="23.85" hidden="false" customHeight="false" outlineLevel="0" collapsed="false">
      <c r="B15" s="13" t="s">
        <v>1167</v>
      </c>
      <c r="C15" s="9" t="n">
        <f aca="false">COUNTIF(C4:C13,"R")</f>
        <v>4</v>
      </c>
      <c r="D15" s="9" t="n">
        <f aca="false">COUNTIF(D4:D13,"R")</f>
        <v>9</v>
      </c>
      <c r="E15" s="9" t="n">
        <f aca="false">COUNTIF(E4:E13,"R")</f>
        <v>7</v>
      </c>
      <c r="F15" s="9" t="n">
        <f aca="false">COUNTIF(F4:F13,"R")</f>
        <v>3</v>
      </c>
      <c r="G15" s="9" t="n">
        <f aca="false">COUNTIF(G4:G13,"R")</f>
        <v>5</v>
      </c>
      <c r="H15" s="9" t="n">
        <f aca="false">COUNTIF(H4:H13,"R")</f>
        <v>6</v>
      </c>
      <c r="I15" s="9" t="n">
        <f aca="false">COUNTIF(I4:I13,"R")</f>
        <v>6</v>
      </c>
      <c r="J15" s="9" t="n">
        <f aca="false">COUNTIF(J4:J13,"R")</f>
        <v>3</v>
      </c>
      <c r="K15" s="9" t="n">
        <f aca="false">COUNTIF(K4:K13,"R")</f>
        <v>2</v>
      </c>
      <c r="L15" s="9" t="n">
        <f aca="false">COUNTIF(L4:L13,"R")</f>
        <v>0</v>
      </c>
      <c r="M15" s="9" t="n">
        <f aca="false">COUNTIF(M4:M13,"R")</f>
        <v>1</v>
      </c>
      <c r="N15" s="9" t="n">
        <f aca="false">COUNTIF(N4:N13,"R")</f>
        <v>2</v>
      </c>
      <c r="O15" s="9" t="n">
        <f aca="false">COUNTIF(O4:O13,"R")</f>
        <v>1</v>
      </c>
      <c r="P15" s="9" t="n">
        <f aca="false">COUNTIF(P4:P13,"R")</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1" min="2" style="0" width="6"/>
    <col collapsed="false" customWidth="true" hidden="false" outlineLevel="0" max="12" min="12" style="0" width="10"/>
    <col collapsed="false" customWidth="true" hidden="false" outlineLevel="0" max="13" min="13" style="0" width="44"/>
  </cols>
  <sheetData>
    <row r="1" customFormat="false" ht="17.35" hidden="false" customHeight="false" outlineLevel="0" collapsed="false">
      <c r="A1" s="1" t="s">
        <v>1168</v>
      </c>
    </row>
    <row r="2" customFormat="false" ht="15" hidden="false" customHeight="false" outlineLevel="0" collapsed="false">
      <c r="A2" s="2" t="s">
        <v>1169</v>
      </c>
    </row>
    <row r="3" customFormat="false" ht="23.85" hidden="false" customHeight="false" outlineLevel="0" collapsed="false">
      <c r="A3" s="3" t="s">
        <v>1170</v>
      </c>
      <c r="B3" s="3" t="s">
        <v>685</v>
      </c>
      <c r="C3" s="3" t="s">
        <v>688</v>
      </c>
      <c r="D3" s="3" t="s">
        <v>706</v>
      </c>
      <c r="E3" s="3" t="s">
        <v>702</v>
      </c>
      <c r="F3" s="3" t="s">
        <v>720</v>
      </c>
      <c r="G3" s="3" t="s">
        <v>717</v>
      </c>
      <c r="H3" s="3" t="s">
        <v>696</v>
      </c>
      <c r="I3" s="3" t="s">
        <v>723</v>
      </c>
      <c r="J3" s="3" t="s">
        <v>732</v>
      </c>
      <c r="K3" s="3" t="s">
        <v>750</v>
      </c>
      <c r="L3" s="3" t="s">
        <v>1171</v>
      </c>
      <c r="M3" s="3" t="s">
        <v>794</v>
      </c>
    </row>
    <row r="4" customFormat="false" ht="15" hidden="false" customHeight="false" outlineLevel="0" collapsed="false">
      <c r="A4" s="4" t="s">
        <v>1172</v>
      </c>
      <c r="B4" s="8" t="n">
        <v>1</v>
      </c>
      <c r="C4" s="8" t="n">
        <v>1</v>
      </c>
      <c r="D4" s="8" t="n">
        <v>1</v>
      </c>
      <c r="E4" s="8"/>
      <c r="F4" s="8"/>
      <c r="G4" s="8" t="n">
        <v>1</v>
      </c>
      <c r="H4" s="8" t="n">
        <v>1</v>
      </c>
      <c r="I4" s="8" t="n">
        <v>1</v>
      </c>
      <c r="J4" s="8"/>
      <c r="K4" s="8" t="n">
        <v>1</v>
      </c>
      <c r="L4" s="9" t="n">
        <f aca="false">SUM(B4:K4)</f>
        <v>7</v>
      </c>
      <c r="M4" s="4" t="str">
        <f aca="false">IF(L4=0,"Gap - review",IF(L4&gt;=8,"Heavily represented - check for variants","Covered"))</f>
        <v>Covered</v>
      </c>
    </row>
    <row r="5" customFormat="false" ht="15" hidden="false" customHeight="false" outlineLevel="0" collapsed="false">
      <c r="A5" s="4" t="s">
        <v>1173</v>
      </c>
      <c r="B5" s="8" t="n">
        <v>1</v>
      </c>
      <c r="C5" s="8" t="n">
        <v>1</v>
      </c>
      <c r="D5" s="8"/>
      <c r="E5" s="8" t="n">
        <v>1</v>
      </c>
      <c r="F5" s="8" t="n">
        <v>1</v>
      </c>
      <c r="G5" s="8"/>
      <c r="H5" s="8"/>
      <c r="I5" s="8" t="n">
        <v>1</v>
      </c>
      <c r="J5" s="8"/>
      <c r="K5" s="8"/>
      <c r="L5" s="9" t="n">
        <f aca="false">SUM(B5:K5)</f>
        <v>5</v>
      </c>
      <c r="M5" s="4" t="str">
        <f aca="false">IF(L5=0,"Gap - review",IF(L5&gt;=8,"Heavily represented - check for variants","Covered"))</f>
        <v>Covered</v>
      </c>
    </row>
    <row r="6" customFormat="false" ht="15" hidden="false" customHeight="false" outlineLevel="0" collapsed="false">
      <c r="A6" s="4" t="s">
        <v>1174</v>
      </c>
      <c r="B6" s="8"/>
      <c r="C6" s="8" t="n">
        <v>1</v>
      </c>
      <c r="D6" s="8" t="n">
        <v>1</v>
      </c>
      <c r="E6" s="8" t="n">
        <v>1</v>
      </c>
      <c r="F6" s="8"/>
      <c r="G6" s="8"/>
      <c r="H6" s="8"/>
      <c r="I6" s="8" t="n">
        <v>1</v>
      </c>
      <c r="J6" s="8" t="n">
        <v>1</v>
      </c>
      <c r="K6" s="8"/>
      <c r="L6" s="9" t="n">
        <f aca="false">SUM(B6:K6)</f>
        <v>5</v>
      </c>
      <c r="M6" s="4" t="str">
        <f aca="false">IF(L6=0,"Gap - review",IF(L6&gt;=8,"Heavily represented - check for variants","Covered"))</f>
        <v>Covered</v>
      </c>
    </row>
    <row r="7" customFormat="false" ht="15" hidden="false" customHeight="false" outlineLevel="0" collapsed="false">
      <c r="A7" s="4" t="s">
        <v>1175</v>
      </c>
      <c r="B7" s="8" t="n">
        <v>1</v>
      </c>
      <c r="C7" s="8" t="n">
        <v>1</v>
      </c>
      <c r="D7" s="8" t="n">
        <v>1</v>
      </c>
      <c r="E7" s="8"/>
      <c r="F7" s="8"/>
      <c r="G7" s="8" t="n">
        <v>1</v>
      </c>
      <c r="H7" s="8"/>
      <c r="I7" s="8" t="n">
        <v>1</v>
      </c>
      <c r="J7" s="8"/>
      <c r="K7" s="8"/>
      <c r="L7" s="9" t="n">
        <f aca="false">SUM(B7:K7)</f>
        <v>5</v>
      </c>
      <c r="M7" s="4" t="str">
        <f aca="false">IF(L7=0,"Gap - review",IF(L7&gt;=8,"Heavily represented - check for variants","Covered"))</f>
        <v>Covered</v>
      </c>
    </row>
    <row r="8" customFormat="false" ht="15" hidden="false" customHeight="false" outlineLevel="0" collapsed="false">
      <c r="A8" s="4" t="s">
        <v>1176</v>
      </c>
      <c r="B8" s="8"/>
      <c r="C8" s="8" t="n">
        <v>1</v>
      </c>
      <c r="D8" s="8"/>
      <c r="E8" s="8"/>
      <c r="F8" s="8"/>
      <c r="G8" s="8"/>
      <c r="H8" s="8"/>
      <c r="I8" s="8"/>
      <c r="J8" s="8"/>
      <c r="K8" s="8"/>
      <c r="L8" s="9" t="n">
        <f aca="false">SUM(B8:K8)</f>
        <v>1</v>
      </c>
      <c r="M8" s="4" t="str">
        <f aca="false">IF(L8=0,"Gap - review",IF(L8&gt;=8,"Heavily represented - check for variants","Covered"))</f>
        <v>Covered</v>
      </c>
    </row>
    <row r="9" customFormat="false" ht="15" hidden="false" customHeight="false" outlineLevel="0" collapsed="false">
      <c r="A9" s="4" t="s">
        <v>1177</v>
      </c>
      <c r="B9" s="8" t="n">
        <v>1</v>
      </c>
      <c r="C9" s="8"/>
      <c r="D9" s="8"/>
      <c r="E9" s="8"/>
      <c r="F9" s="8"/>
      <c r="G9" s="8"/>
      <c r="H9" s="8" t="n">
        <v>1</v>
      </c>
      <c r="I9" s="8"/>
      <c r="J9" s="8"/>
      <c r="K9" s="8" t="n">
        <v>1</v>
      </c>
      <c r="L9" s="9" t="n">
        <f aca="false">SUM(B9:K9)</f>
        <v>3</v>
      </c>
      <c r="M9" s="4" t="str">
        <f aca="false">IF(L9=0,"Gap - review",IF(L9&gt;=8,"Heavily represented - check for variants","Covered"))</f>
        <v>Covered</v>
      </c>
    </row>
    <row r="10" customFormat="false" ht="15" hidden="false" customHeight="false" outlineLevel="0" collapsed="false">
      <c r="A10" s="4" t="s">
        <v>1178</v>
      </c>
      <c r="B10" s="8"/>
      <c r="C10" s="8"/>
      <c r="D10" s="8"/>
      <c r="E10" s="8"/>
      <c r="F10" s="8"/>
      <c r="G10" s="8"/>
      <c r="H10" s="8"/>
      <c r="I10" s="8" t="n">
        <v>1</v>
      </c>
      <c r="J10" s="8" t="n">
        <v>1</v>
      </c>
      <c r="K10" s="8"/>
      <c r="L10" s="9" t="n">
        <f aca="false">SUM(B10:K10)</f>
        <v>2</v>
      </c>
      <c r="M10" s="4" t="str">
        <f aca="false">IF(L10=0,"Gap - review",IF(L10&gt;=8,"Heavily represented - check for variants","Covered"))</f>
        <v>Covered</v>
      </c>
    </row>
    <row r="11" customFormat="false" ht="15" hidden="false" customHeight="false" outlineLevel="0" collapsed="false">
      <c r="A11" s="4" t="s">
        <v>1179</v>
      </c>
      <c r="B11" s="8"/>
      <c r="C11" s="8"/>
      <c r="D11" s="8"/>
      <c r="E11" s="8"/>
      <c r="F11" s="8" t="n">
        <v>1</v>
      </c>
      <c r="G11" s="8" t="n">
        <v>1</v>
      </c>
      <c r="H11" s="8"/>
      <c r="I11" s="8"/>
      <c r="J11" s="8"/>
      <c r="K11" s="8" t="n">
        <v>1</v>
      </c>
      <c r="L11" s="9" t="n">
        <f aca="false">SUM(B11:K11)</f>
        <v>3</v>
      </c>
      <c r="M11" s="4" t="str">
        <f aca="false">IF(L11=0,"Gap - review",IF(L11&gt;=8,"Heavily represented - check for variants","Covered"))</f>
        <v>Covered</v>
      </c>
    </row>
    <row r="12" customFormat="false" ht="15" hidden="false" customHeight="false" outlineLevel="0" collapsed="false">
      <c r="A12" s="4" t="s">
        <v>1180</v>
      </c>
      <c r="B12" s="8"/>
      <c r="C12" s="8"/>
      <c r="D12" s="8" t="n">
        <v>1</v>
      </c>
      <c r="E12" s="8"/>
      <c r="F12" s="8" t="n">
        <v>1</v>
      </c>
      <c r="G12" s="8"/>
      <c r="H12" s="8" t="n">
        <v>1</v>
      </c>
      <c r="I12" s="8"/>
      <c r="J12" s="8"/>
      <c r="K12" s="8"/>
      <c r="L12" s="9" t="n">
        <f aca="false">SUM(B12:K12)</f>
        <v>3</v>
      </c>
      <c r="M12" s="4" t="str">
        <f aca="false">IF(L12=0,"Gap - review",IF(L12&gt;=8,"Heavily represented - check for variants","Covered"))</f>
        <v>Covered</v>
      </c>
    </row>
    <row r="13" customFormat="false" ht="15" hidden="false" customHeight="false" outlineLevel="0" collapsed="false">
      <c r="A13" s="4" t="s">
        <v>1181</v>
      </c>
      <c r="B13" s="8"/>
      <c r="C13" s="8" t="n">
        <v>1</v>
      </c>
      <c r="D13" s="8" t="n">
        <v>1</v>
      </c>
      <c r="E13" s="8" t="n">
        <v>1</v>
      </c>
      <c r="F13" s="8"/>
      <c r="G13" s="8"/>
      <c r="H13" s="8"/>
      <c r="I13" s="8"/>
      <c r="J13" s="8" t="n">
        <v>1</v>
      </c>
      <c r="K13" s="8"/>
      <c r="L13" s="9" t="n">
        <f aca="false">SUM(B13:K13)</f>
        <v>4</v>
      </c>
      <c r="M13" s="4" t="str">
        <f aca="false">IF(L13=0,"Gap - review",IF(L13&gt;=8,"Heavily represented - check for variants","Covered"))</f>
        <v>Covered</v>
      </c>
    </row>
    <row r="14" customFormat="false" ht="15" hidden="false" customHeight="false" outlineLevel="0" collapsed="false">
      <c r="A14" s="4" t="s">
        <v>1182</v>
      </c>
      <c r="B14" s="8" t="n">
        <v>1</v>
      </c>
      <c r="C14" s="8" t="n">
        <v>1</v>
      </c>
      <c r="D14" s="8"/>
      <c r="E14" s="8" t="n">
        <v>1</v>
      </c>
      <c r="F14" s="8"/>
      <c r="G14" s="8"/>
      <c r="H14" s="8"/>
      <c r="I14" s="8"/>
      <c r="J14" s="8"/>
      <c r="K14" s="8"/>
      <c r="L14" s="9" t="n">
        <f aca="false">SUM(B14:K14)</f>
        <v>3</v>
      </c>
      <c r="M14" s="4" t="str">
        <f aca="false">IF(L14=0,"Gap - review",IF(L14&gt;=8,"Heavily represented - check for variants","Covered"))</f>
        <v>Covered</v>
      </c>
    </row>
    <row r="15" customFormat="false" ht="15" hidden="false" customHeight="false" outlineLevel="0" collapsed="false">
      <c r="A15" s="4" t="s">
        <v>1183</v>
      </c>
      <c r="B15" s="8"/>
      <c r="C15" s="8"/>
      <c r="D15" s="8"/>
      <c r="E15" s="8" t="n">
        <v>1</v>
      </c>
      <c r="F15" s="8"/>
      <c r="G15" s="8"/>
      <c r="H15" s="8"/>
      <c r="I15" s="8"/>
      <c r="J15" s="8"/>
      <c r="K15" s="8"/>
      <c r="L15" s="9" t="n">
        <f aca="false">SUM(B15:K15)</f>
        <v>1</v>
      </c>
      <c r="M15" s="4" t="str">
        <f aca="false">IF(L15=0,"Gap - review",IF(L15&gt;=8,"Heavily represented - check for variants","Covered"))</f>
        <v>Covered</v>
      </c>
    </row>
    <row r="16" customFormat="false" ht="15" hidden="false" customHeight="false" outlineLevel="0" collapsed="false">
      <c r="A16" s="4" t="s">
        <v>1184</v>
      </c>
      <c r="B16" s="8" t="n">
        <v>1</v>
      </c>
      <c r="C16" s="8" t="n">
        <v>1</v>
      </c>
      <c r="D16" s="8"/>
      <c r="E16" s="8"/>
      <c r="F16" s="8"/>
      <c r="G16" s="8" t="n">
        <v>1</v>
      </c>
      <c r="H16" s="8" t="n">
        <v>1</v>
      </c>
      <c r="I16" s="8"/>
      <c r="J16" s="8"/>
      <c r="K16" s="8" t="n">
        <v>1</v>
      </c>
      <c r="L16" s="9" t="n">
        <f aca="false">SUM(B16:K16)</f>
        <v>5</v>
      </c>
      <c r="M16" s="4" t="str">
        <f aca="false">IF(L16=0,"Gap - review",IF(L16&gt;=8,"Heavily represented - check for variants","Covered"))</f>
        <v>Covered</v>
      </c>
    </row>
    <row r="17" customFormat="false" ht="23.85" hidden="false" customHeight="false" outlineLevel="0" collapsed="false">
      <c r="A17" s="4" t="s">
        <v>1185</v>
      </c>
      <c r="B17" s="8"/>
      <c r="C17" s="8"/>
      <c r="D17" s="8"/>
      <c r="E17" s="8"/>
      <c r="F17" s="8"/>
      <c r="G17" s="8"/>
      <c r="H17" s="8"/>
      <c r="I17" s="8"/>
      <c r="J17" s="8"/>
      <c r="K17" s="8"/>
      <c r="L17" s="9" t="n">
        <f aca="false">SUM(B17:K17)</f>
        <v>0</v>
      </c>
      <c r="M17" s="4" t="str">
        <f aca="false">IF(L17=0,"Gap - Not covered - deferred (C18); bounded financial exposure","Covered")</f>
        <v>Gap - Not covered - deferred (C18); bounded financial exposure</v>
      </c>
    </row>
    <row r="18" customFormat="false" ht="15" hidden="false" customHeight="false" outlineLevel="0" collapsed="false">
      <c r="A18" s="4" t="s">
        <v>1186</v>
      </c>
      <c r="B18" s="8"/>
      <c r="C18" s="8" t="n">
        <v>1</v>
      </c>
      <c r="D18" s="8"/>
      <c r="E18" s="8"/>
      <c r="F18" s="8"/>
      <c r="G18" s="8"/>
      <c r="H18" s="8"/>
      <c r="I18" s="8"/>
      <c r="J18" s="8" t="n">
        <v>1</v>
      </c>
      <c r="K18" s="8"/>
      <c r="L18" s="9" t="n">
        <f aca="false">SUM(B18:K18)</f>
        <v>2</v>
      </c>
      <c r="M18" s="4" t="str">
        <f aca="false">IF(L18=0,"Gap - review",IF(L18&gt;=8,"Heavily represented - check for variants","Covered"))</f>
        <v>Covered</v>
      </c>
    </row>
    <row r="19" customFormat="false" ht="15" hidden="false" customHeight="false" outlineLevel="0" collapsed="false">
      <c r="A19" s="4" t="s">
        <v>1187</v>
      </c>
      <c r="B19" s="8"/>
      <c r="C19" s="8"/>
      <c r="D19" s="8"/>
      <c r="E19" s="8"/>
      <c r="F19" s="8"/>
      <c r="G19" s="8"/>
      <c r="H19" s="8"/>
      <c r="I19" s="8"/>
      <c r="J19" s="8"/>
      <c r="K19" s="8" t="n">
        <v>1</v>
      </c>
      <c r="L19" s="9" t="n">
        <f aca="false">SUM(B19:K19)</f>
        <v>1</v>
      </c>
      <c r="M19" s="4" t="str">
        <f aca="false">IF(L19=0,"Gap - review",IF(L19&gt;=8,"Heavily represented - check for variants","Covered"))</f>
        <v>Covered</v>
      </c>
    </row>
    <row r="20" customFormat="false" ht="15" hidden="false" customHeight="false" outlineLevel="0" collapsed="false">
      <c r="A20" s="4" t="s">
        <v>70</v>
      </c>
      <c r="B20" s="8"/>
      <c r="C20" s="8" t="n">
        <v>1</v>
      </c>
      <c r="D20" s="8"/>
      <c r="E20" s="8" t="n">
        <v>1</v>
      </c>
      <c r="F20" s="8" t="n">
        <v>1</v>
      </c>
      <c r="G20" s="8"/>
      <c r="H20" s="8"/>
      <c r="I20" s="8"/>
      <c r="J20" s="8" t="n">
        <v>1</v>
      </c>
      <c r="K20" s="8"/>
      <c r="L20" s="9" t="n">
        <f aca="false">SUM(B20:K20)</f>
        <v>4</v>
      </c>
      <c r="M20" s="4" t="str">
        <f aca="false">IF(L20=0,"Gap - review",IF(L20&gt;=8,"Heavily represented - check for variants","Covered"))</f>
        <v>Covered</v>
      </c>
    </row>
    <row r="22" customFormat="false" ht="15" hidden="false" customHeight="false" outlineLevel="0" collapsed="false">
      <c r="A22" s="13" t="s">
        <v>1188</v>
      </c>
      <c r="B22" s="9" t="n">
        <f aca="false">SUM(B4:B20)</f>
        <v>6</v>
      </c>
      <c r="C22" s="9" t="n">
        <f aca="false">SUM(C4:C20)</f>
        <v>10</v>
      </c>
      <c r="D22" s="9" t="n">
        <f aca="false">SUM(D4:D20)</f>
        <v>5</v>
      </c>
      <c r="E22" s="9" t="n">
        <f aca="false">SUM(E4:E20)</f>
        <v>6</v>
      </c>
      <c r="F22" s="9" t="n">
        <f aca="false">SUM(F4:F20)</f>
        <v>4</v>
      </c>
      <c r="G22" s="9" t="n">
        <f aca="false">SUM(G4:G20)</f>
        <v>4</v>
      </c>
      <c r="H22" s="9" t="n">
        <f aca="false">SUM(H4:H20)</f>
        <v>4</v>
      </c>
      <c r="I22" s="9" t="n">
        <f aca="false">SUM(I4:I20)</f>
        <v>5</v>
      </c>
      <c r="J22" s="9" t="n">
        <f aca="false">SUM(J4:J20)</f>
        <v>5</v>
      </c>
      <c r="K22" s="9" t="n">
        <f aca="false">SUM(K4:K20)</f>
        <v>5</v>
      </c>
    </row>
  </sheetData>
  <conditionalFormatting sqref="B4:K20">
    <cfRule type="cellIs" priority="2" operator="equal" aboveAverage="0" equalAverage="0" bottom="0" percent="0" rank="0" text="" dxfId="0">
      <formula>1</formula>
    </cfRule>
  </conditionalFormatting>
  <conditionalFormatting sqref="M4:M20">
    <cfRule type="expression" priority="3" aboveAverage="0" equalAverage="0" bottom="0" percent="0" rank="0" text="" dxfId="4">
      <formula>LEFT(M4,3)="Gap"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0"/>
    <col collapsed="false" customWidth="true" hidden="false" outlineLevel="0" max="3" min="3" style="0" width="110"/>
  </cols>
  <sheetData>
    <row r="1" customFormat="false" ht="17.35" hidden="false" customHeight="false" outlineLevel="0" collapsed="false">
      <c r="A1" s="1" t="s">
        <v>1189</v>
      </c>
    </row>
    <row r="3" customFormat="false" ht="15" hidden="false" customHeight="false" outlineLevel="0" collapsed="false">
      <c r="A3" s="3" t="s">
        <v>623</v>
      </c>
      <c r="B3" s="3" t="s">
        <v>1190</v>
      </c>
      <c r="C3" s="3" t="s">
        <v>1191</v>
      </c>
    </row>
    <row r="4" customFormat="false" ht="23.85" hidden="false" customHeight="false" outlineLevel="0" collapsed="false">
      <c r="A4" s="4" t="s">
        <v>1192</v>
      </c>
      <c r="B4" s="4" t="s">
        <v>808</v>
      </c>
      <c r="C4" s="4" t="s">
        <v>1193</v>
      </c>
    </row>
    <row r="5" customFormat="false" ht="23.85" hidden="false" customHeight="false" outlineLevel="0" collapsed="false">
      <c r="A5" s="4" t="s">
        <v>1194</v>
      </c>
      <c r="B5" s="4" t="s">
        <v>1195</v>
      </c>
      <c r="C5" s="4" t="s">
        <v>1196</v>
      </c>
    </row>
    <row r="6" customFormat="false" ht="23.85" hidden="false" customHeight="false" outlineLevel="0" collapsed="false">
      <c r="A6" s="4" t="s">
        <v>1197</v>
      </c>
      <c r="B6" s="4" t="s">
        <v>1198</v>
      </c>
      <c r="C6" s="4" t="s">
        <v>1199</v>
      </c>
    </row>
    <row r="7" customFormat="false" ht="23.85" hidden="false" customHeight="false" outlineLevel="0" collapsed="false">
      <c r="A7" s="4" t="s">
        <v>1200</v>
      </c>
      <c r="B7" s="4" t="s">
        <v>808</v>
      </c>
      <c r="C7" s="4" t="s">
        <v>1201</v>
      </c>
    </row>
    <row r="8" customFormat="false" ht="15" hidden="false" customHeight="false" outlineLevel="0" collapsed="false">
      <c r="A8" s="4" t="s">
        <v>1202</v>
      </c>
      <c r="B8" s="4" t="s">
        <v>808</v>
      </c>
      <c r="C8" s="4" t="s">
        <v>1203</v>
      </c>
    </row>
    <row r="9" customFormat="false" ht="15" hidden="false" customHeight="false" outlineLevel="0" collapsed="false">
      <c r="A9" s="4" t="s">
        <v>1204</v>
      </c>
      <c r="B9" s="4" t="s">
        <v>808</v>
      </c>
      <c r="C9" s="4" t="s">
        <v>1205</v>
      </c>
    </row>
    <row r="10" customFormat="false" ht="15" hidden="false" customHeight="false" outlineLevel="0" collapsed="false">
      <c r="A10" s="4" t="s">
        <v>1206</v>
      </c>
      <c r="B10" s="4" t="s">
        <v>808</v>
      </c>
      <c r="C10" s="4" t="s">
        <v>1207</v>
      </c>
    </row>
    <row r="11" customFormat="false" ht="35.05" hidden="false" customHeight="false" outlineLevel="0" collapsed="false">
      <c r="A11" s="4" t="s">
        <v>1208</v>
      </c>
      <c r="B11" s="4" t="s">
        <v>808</v>
      </c>
      <c r="C11" s="4" t="s">
        <v>1209</v>
      </c>
    </row>
    <row r="13" customFormat="false" ht="15" hidden="false" customHeight="false" outlineLevel="0" collapsed="false">
      <c r="A13" s="5" t="s">
        <v>1210</v>
      </c>
    </row>
    <row r="14" customFormat="false" ht="23.85" hidden="false" customHeight="false" outlineLevel="0" collapsed="false">
      <c r="A14" s="3" t="s">
        <v>1211</v>
      </c>
      <c r="B14" s="3" t="s">
        <v>1212</v>
      </c>
      <c r="C14" s="3" t="s">
        <v>1213</v>
      </c>
    </row>
    <row r="15" customFormat="false" ht="23.85" hidden="false" customHeight="false" outlineLevel="0" collapsed="false">
      <c r="A15" s="4" t="s">
        <v>1214</v>
      </c>
      <c r="B15" s="4" t="s">
        <v>1215</v>
      </c>
      <c r="C15" s="4" t="s">
        <v>1216</v>
      </c>
    </row>
    <row r="16" customFormat="false" ht="23.85" hidden="false" customHeight="false" outlineLevel="0" collapsed="false">
      <c r="A16" s="4" t="s">
        <v>1217</v>
      </c>
      <c r="B16" s="4" t="s">
        <v>1218</v>
      </c>
      <c r="C16" s="4" t="s">
        <v>1219</v>
      </c>
    </row>
    <row r="17" customFormat="false" ht="15" hidden="false" customHeight="false" outlineLevel="0" collapsed="false">
      <c r="A17" s="4" t="s">
        <v>1220</v>
      </c>
      <c r="B17" s="4" t="s">
        <v>715</v>
      </c>
      <c r="C17" s="4" t="s">
        <v>1221</v>
      </c>
    </row>
    <row r="18" customFormat="false" ht="15" hidden="false" customHeight="false" outlineLevel="0" collapsed="false">
      <c r="A18" s="4" t="s">
        <v>1222</v>
      </c>
      <c r="B18" s="4" t="s">
        <v>1223</v>
      </c>
      <c r="C18" s="4" t="s">
        <v>1224</v>
      </c>
    </row>
    <row r="19" customFormat="false" ht="15" hidden="false" customHeight="false" outlineLevel="0" collapsed="false">
      <c r="A19" s="4" t="s">
        <v>1225</v>
      </c>
      <c r="B19" s="4" t="s">
        <v>1223</v>
      </c>
      <c r="C19" s="4" t="s">
        <v>1226</v>
      </c>
    </row>
    <row r="20" customFormat="false" ht="15" hidden="false" customHeight="false" outlineLevel="0" collapsed="false">
      <c r="A20" s="4" t="s">
        <v>1227</v>
      </c>
      <c r="B20" s="4" t="s">
        <v>774</v>
      </c>
      <c r="C20" s="4" t="s">
        <v>1228</v>
      </c>
    </row>
    <row r="22" customFormat="false" ht="15" hidden="false" customHeight="false" outlineLevel="0" collapsed="false">
      <c r="A22" s="5" t="s">
        <v>1229</v>
      </c>
    </row>
    <row r="23" customFormat="false" ht="15" hidden="false" customHeight="false" outlineLevel="0" collapsed="false">
      <c r="A23" s="3" t="s">
        <v>1230</v>
      </c>
      <c r="B23" s="3" t="s">
        <v>1231</v>
      </c>
      <c r="C23" s="3" t="s">
        <v>1232</v>
      </c>
      <c r="D23" s="3" t="s">
        <v>1233</v>
      </c>
    </row>
    <row r="24" customFormat="false" ht="23.85" hidden="false" customHeight="false" outlineLevel="0" collapsed="false">
      <c r="A24" s="4" t="s">
        <v>1234</v>
      </c>
      <c r="B24" s="4" t="s">
        <v>1235</v>
      </c>
      <c r="C24" s="4" t="s">
        <v>1236</v>
      </c>
      <c r="D24" s="4" t="s">
        <v>1237</v>
      </c>
    </row>
    <row r="25" customFormat="false" ht="23.85" hidden="false" customHeight="false" outlineLevel="0" collapsed="false">
      <c r="A25" s="4" t="s">
        <v>1238</v>
      </c>
      <c r="B25" s="4" t="s">
        <v>1239</v>
      </c>
      <c r="C25" s="4" t="s">
        <v>1240</v>
      </c>
      <c r="D25" s="4" t="s">
        <v>1241</v>
      </c>
    </row>
    <row r="26" customFormat="false" ht="23.85" hidden="false" customHeight="false" outlineLevel="0" collapsed="false">
      <c r="A26" s="4" t="s">
        <v>1242</v>
      </c>
      <c r="B26" s="4" t="s">
        <v>688</v>
      </c>
      <c r="C26" s="4" t="s">
        <v>1243</v>
      </c>
      <c r="D26" s="4" t="s">
        <v>1244</v>
      </c>
    </row>
    <row r="27" customFormat="false" ht="15" hidden="false" customHeight="false" outlineLevel="0" collapsed="false">
      <c r="A27" s="4" t="s">
        <v>1245</v>
      </c>
      <c r="B27" s="4" t="s">
        <v>706</v>
      </c>
      <c r="C27" s="4" t="s">
        <v>1246</v>
      </c>
      <c r="D27" s="4" t="s">
        <v>1237</v>
      </c>
    </row>
    <row r="28" customFormat="false" ht="23.85" hidden="false" customHeight="false" outlineLevel="0" collapsed="false">
      <c r="A28" s="4" t="s">
        <v>1247</v>
      </c>
      <c r="B28" s="4" t="s">
        <v>702</v>
      </c>
      <c r="C28" s="4" t="s">
        <v>1153</v>
      </c>
      <c r="D28" s="4" t="s">
        <v>1248</v>
      </c>
    </row>
    <row r="29" customFormat="false" ht="23.85" hidden="false" customHeight="false" outlineLevel="0" collapsed="false">
      <c r="A29" s="4" t="s">
        <v>1249</v>
      </c>
      <c r="B29" s="4" t="s">
        <v>720</v>
      </c>
      <c r="C29" s="4" t="s">
        <v>1250</v>
      </c>
      <c r="D29" s="4" t="s">
        <v>1248</v>
      </c>
    </row>
    <row r="30" customFormat="false" ht="23.85" hidden="false" customHeight="false" outlineLevel="0" collapsed="false">
      <c r="A30" s="4" t="s">
        <v>1251</v>
      </c>
      <c r="B30" s="4" t="s">
        <v>717</v>
      </c>
      <c r="C30" s="4" t="s">
        <v>1252</v>
      </c>
      <c r="D30" s="4" t="s">
        <v>1244</v>
      </c>
    </row>
    <row r="31" customFormat="false" ht="23.85" hidden="false" customHeight="false" outlineLevel="0" collapsed="false">
      <c r="A31" s="4" t="s">
        <v>1253</v>
      </c>
      <c r="B31" s="4" t="s">
        <v>696</v>
      </c>
      <c r="C31" s="4" t="s">
        <v>1254</v>
      </c>
      <c r="D31" s="4" t="s">
        <v>1244</v>
      </c>
    </row>
    <row r="32" customFormat="false" ht="23.85" hidden="false" customHeight="false" outlineLevel="0" collapsed="false">
      <c r="A32" s="4" t="s">
        <v>1255</v>
      </c>
      <c r="B32" s="4" t="s">
        <v>723</v>
      </c>
      <c r="C32" s="4" t="s">
        <v>1256</v>
      </c>
      <c r="D32" s="4" t="s">
        <v>1248</v>
      </c>
    </row>
    <row r="33" customFormat="false" ht="23.85" hidden="false" customHeight="false" outlineLevel="0" collapsed="false">
      <c r="A33" s="4" t="s">
        <v>1257</v>
      </c>
      <c r="B33" s="4" t="s">
        <v>732</v>
      </c>
      <c r="C33" s="4" t="s">
        <v>1258</v>
      </c>
      <c r="D33" s="4" t="s">
        <v>1248</v>
      </c>
    </row>
    <row r="34" customFormat="false" ht="15" hidden="false" customHeight="false" outlineLevel="0" collapsed="false">
      <c r="A34" s="4" t="s">
        <v>1259</v>
      </c>
      <c r="B34" s="4" t="s">
        <v>750</v>
      </c>
      <c r="C34" s="4" t="s">
        <v>1252</v>
      </c>
      <c r="D34" s="4" t="s">
        <v>1237</v>
      </c>
    </row>
    <row r="35" customFormat="false" ht="15" hidden="false" customHeight="false" outlineLevel="0" collapsed="false">
      <c r="A35" s="4" t="s">
        <v>1260</v>
      </c>
      <c r="B35" s="4" t="s">
        <v>313</v>
      </c>
      <c r="C35" s="4" t="s">
        <v>1261</v>
      </c>
      <c r="D35" s="4" t="s">
        <v>1262</v>
      </c>
    </row>
    <row r="37" customFormat="false" ht="15" hidden="false" customHeight="false" outlineLevel="0" collapsed="false">
      <c r="A37" s="5" t="s">
        <v>1263</v>
      </c>
    </row>
    <row r="38" customFormat="false" ht="15" hidden="false" customHeight="false" outlineLevel="0" collapsed="false">
      <c r="A38" s="3" t="s">
        <v>1264</v>
      </c>
      <c r="B38" s="3" t="s">
        <v>794</v>
      </c>
    </row>
    <row r="39" customFormat="false" ht="35.05" hidden="false" customHeight="false" outlineLevel="0" collapsed="false">
      <c r="A39" s="4" t="s">
        <v>1265</v>
      </c>
      <c r="B39" s="4" t="s">
        <v>1266</v>
      </c>
    </row>
    <row r="40" customFormat="false" ht="23.85" hidden="false" customHeight="false" outlineLevel="0" collapsed="false">
      <c r="A40" s="4" t="s">
        <v>1267</v>
      </c>
      <c r="B40" s="4" t="s">
        <v>1268</v>
      </c>
    </row>
    <row r="41" customFormat="false" ht="46.25" hidden="false" customHeight="false" outlineLevel="0" collapsed="false">
      <c r="A41" s="4" t="s">
        <v>1269</v>
      </c>
      <c r="B41" s="4" t="s">
        <v>1270</v>
      </c>
    </row>
    <row r="42" customFormat="false" ht="46.25" hidden="false" customHeight="false" outlineLevel="0" collapsed="false">
      <c r="A42" s="4" t="s">
        <v>1271</v>
      </c>
      <c r="B42" s="4" t="s">
        <v>1272</v>
      </c>
    </row>
    <row r="43" customFormat="false" ht="35.05" hidden="false" customHeight="false" outlineLevel="0" collapsed="false">
      <c r="A43" s="4" t="s">
        <v>1273</v>
      </c>
      <c r="B43" s="4" t="s">
        <v>1274</v>
      </c>
    </row>
    <row r="44" customFormat="false" ht="35.05" hidden="false" customHeight="false" outlineLevel="0" collapsed="false">
      <c r="A44" s="4" t="s">
        <v>1275</v>
      </c>
      <c r="B44" s="4" t="s">
        <v>1276</v>
      </c>
    </row>
    <row r="45" customFormat="false" ht="35.05" hidden="false" customHeight="false" outlineLevel="0" collapsed="false">
      <c r="A45" s="4" t="s">
        <v>1277</v>
      </c>
      <c r="B45" s="4" t="s">
        <v>1278</v>
      </c>
    </row>
    <row r="46" customFormat="false" ht="35.05" hidden="false" customHeight="false" outlineLevel="0" collapsed="false">
      <c r="A46" s="4" t="s">
        <v>1279</v>
      </c>
      <c r="B46" s="4" t="s">
        <v>1280</v>
      </c>
    </row>
    <row r="47" customFormat="false" ht="23.85" hidden="false" customHeight="false" outlineLevel="0" collapsed="false">
      <c r="A47" s="4" t="s">
        <v>1281</v>
      </c>
      <c r="B47" s="4" t="s">
        <v>1282</v>
      </c>
    </row>
    <row r="48" customFormat="false" ht="23.85" hidden="false" customHeight="false" outlineLevel="0" collapsed="false">
      <c r="A48" s="4" t="s">
        <v>1283</v>
      </c>
      <c r="B48" s="4" t="s">
        <v>1284</v>
      </c>
    </row>
    <row r="49" customFormat="false" ht="23.85" hidden="false" customHeight="false" outlineLevel="0" collapsed="false">
      <c r="A49" s="4" t="s">
        <v>1285</v>
      </c>
      <c r="B49" s="4" t="s">
        <v>1286</v>
      </c>
    </row>
    <row r="50" customFormat="false" ht="46.25" hidden="false" customHeight="false" outlineLevel="0" collapsed="false">
      <c r="A50" s="4" t="s">
        <v>1287</v>
      </c>
      <c r="B50" s="4" t="s">
        <v>1288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14"/>
    <col collapsed="false" customWidth="true" hidden="false" outlineLevel="0" max="5" min="5" style="0" width="50"/>
  </cols>
  <sheetData>
    <row r="1" customFormat="false" ht="17.35" hidden="false" customHeight="false" outlineLevel="0" collapsed="false">
      <c r="A1" s="1" t="s">
        <v>1289</v>
      </c>
    </row>
    <row r="2" customFormat="false" ht="15" hidden="false" customHeight="false" outlineLevel="0" collapsed="false">
      <c r="A2" s="2" t="s">
        <v>1290</v>
      </c>
    </row>
    <row r="3" customFormat="false" ht="23.85" hidden="false" customHeight="false" outlineLevel="0" collapsed="false">
      <c r="A3" s="3" t="s">
        <v>236</v>
      </c>
      <c r="B3" s="3" t="s">
        <v>1291</v>
      </c>
      <c r="C3" s="3" t="s">
        <v>1292</v>
      </c>
      <c r="D3" s="3" t="s">
        <v>1293</v>
      </c>
      <c r="E3" s="3" t="s">
        <v>1294</v>
      </c>
    </row>
    <row r="4" customFormat="false" ht="23.85" hidden="false" customHeight="false" outlineLevel="0" collapsed="false">
      <c r="A4" s="4" t="s">
        <v>247</v>
      </c>
      <c r="B4" s="4" t="s">
        <v>1295</v>
      </c>
      <c r="C4" s="4" t="s">
        <v>237</v>
      </c>
      <c r="D4" s="4" t="s">
        <v>684</v>
      </c>
      <c r="E4" s="4" t="s">
        <v>685</v>
      </c>
    </row>
    <row r="5" customFormat="false" ht="23.85" hidden="false" customHeight="false" outlineLevel="0" collapsed="false">
      <c r="A5" s="4" t="s">
        <v>258</v>
      </c>
      <c r="B5" s="4" t="s">
        <v>1296</v>
      </c>
      <c r="C5" s="4" t="s">
        <v>248</v>
      </c>
      <c r="D5" s="4" t="s">
        <v>684</v>
      </c>
      <c r="E5" s="4" t="s">
        <v>688</v>
      </c>
    </row>
    <row r="6" customFormat="false" ht="23.85" hidden="false" customHeight="false" outlineLevel="0" collapsed="false">
      <c r="A6" s="4" t="s">
        <v>269</v>
      </c>
      <c r="B6" s="4" t="s">
        <v>1297</v>
      </c>
      <c r="C6" s="4" t="s">
        <v>259</v>
      </c>
      <c r="D6" s="4" t="s">
        <v>693</v>
      </c>
      <c r="E6" s="4" t="s">
        <v>688</v>
      </c>
    </row>
    <row r="7" customFormat="false" ht="23.85" hidden="false" customHeight="false" outlineLevel="0" collapsed="false">
      <c r="A7" s="4" t="s">
        <v>280</v>
      </c>
      <c r="B7" s="4" t="s">
        <v>1298</v>
      </c>
      <c r="C7" s="4" t="s">
        <v>270</v>
      </c>
      <c r="D7" s="4" t="s">
        <v>684</v>
      </c>
      <c r="E7" s="4" t="s">
        <v>696</v>
      </c>
    </row>
    <row r="8" customFormat="false" ht="23.85" hidden="false" customHeight="false" outlineLevel="0" collapsed="false">
      <c r="A8" s="4" t="s">
        <v>349</v>
      </c>
      <c r="B8" s="4" t="s">
        <v>1299</v>
      </c>
      <c r="C8" s="4" t="s">
        <v>340</v>
      </c>
      <c r="D8" s="4" t="s">
        <v>684</v>
      </c>
      <c r="E8" s="4" t="s">
        <v>717</v>
      </c>
    </row>
    <row r="9" customFormat="false" ht="15" hidden="false" customHeight="false" outlineLevel="0" collapsed="false">
      <c r="A9" s="4" t="s">
        <v>309</v>
      </c>
      <c r="B9" s="4" t="s">
        <v>301</v>
      </c>
      <c r="C9" s="4" t="s">
        <v>300</v>
      </c>
      <c r="D9" s="4" t="s">
        <v>684</v>
      </c>
      <c r="E9" s="4" t="s">
        <v>706</v>
      </c>
    </row>
    <row r="10" customFormat="false" ht="23.85" hidden="false" customHeight="false" outlineLevel="0" collapsed="false">
      <c r="A10" s="4" t="s">
        <v>328</v>
      </c>
      <c r="B10" s="4" t="s">
        <v>1300</v>
      </c>
      <c r="C10" s="4" t="s">
        <v>319</v>
      </c>
      <c r="D10" s="4" t="s">
        <v>684</v>
      </c>
      <c r="E10" s="4" t="s">
        <v>702</v>
      </c>
    </row>
    <row r="11" customFormat="false" ht="15" hidden="false" customHeight="false" outlineLevel="0" collapsed="false">
      <c r="A11" s="4" t="s">
        <v>318</v>
      </c>
      <c r="B11" s="4" t="s">
        <v>1301</v>
      </c>
      <c r="C11" s="4" t="s">
        <v>310</v>
      </c>
      <c r="D11" s="4" t="s">
        <v>693</v>
      </c>
      <c r="E11" s="4" t="s">
        <v>688</v>
      </c>
    </row>
    <row r="12" customFormat="false" ht="15" hidden="false" customHeight="false" outlineLevel="0" collapsed="false">
      <c r="A12" s="4" t="s">
        <v>370</v>
      </c>
      <c r="B12" s="4" t="s">
        <v>1302</v>
      </c>
      <c r="C12" s="4" t="s">
        <v>361</v>
      </c>
      <c r="D12" s="4" t="s">
        <v>684</v>
      </c>
      <c r="E12" s="4" t="s">
        <v>723</v>
      </c>
    </row>
    <row r="13" customFormat="false" ht="23.85" hidden="false" customHeight="false" outlineLevel="0" collapsed="false">
      <c r="A13" s="4" t="s">
        <v>360</v>
      </c>
      <c r="B13" s="4" t="s">
        <v>1303</v>
      </c>
      <c r="C13" s="4" t="s">
        <v>350</v>
      </c>
      <c r="D13" s="4" t="s">
        <v>684</v>
      </c>
      <c r="E13" s="4" t="s">
        <v>720</v>
      </c>
    </row>
    <row r="14" customFormat="false" ht="23.85" hidden="false" customHeight="false" outlineLevel="0" collapsed="false">
      <c r="A14" s="4" t="s">
        <v>290</v>
      </c>
      <c r="B14" s="4" t="s">
        <v>1304</v>
      </c>
      <c r="C14" s="4" t="s">
        <v>281</v>
      </c>
      <c r="D14" s="4" t="s">
        <v>693</v>
      </c>
      <c r="E14" s="4" t="s">
        <v>696</v>
      </c>
    </row>
    <row r="15" customFormat="false" ht="23.85" hidden="false" customHeight="false" outlineLevel="0" collapsed="false">
      <c r="A15" s="4" t="s">
        <v>299</v>
      </c>
      <c r="B15" s="4" t="s">
        <v>1305</v>
      </c>
      <c r="C15" s="4" t="s">
        <v>291</v>
      </c>
      <c r="D15" s="4" t="s">
        <v>693</v>
      </c>
      <c r="E15" s="4" t="s">
        <v>702</v>
      </c>
    </row>
    <row r="16" customFormat="false" ht="15" hidden="false" customHeight="false" outlineLevel="0" collapsed="false">
      <c r="A16" s="4" t="s">
        <v>339</v>
      </c>
      <c r="B16" s="4" t="s">
        <v>1306</v>
      </c>
      <c r="C16" s="4" t="s">
        <v>329</v>
      </c>
      <c r="D16" s="4" t="s">
        <v>714</v>
      </c>
      <c r="E16" s="4" t="s">
        <v>715</v>
      </c>
    </row>
    <row r="17" customFormat="false" ht="15" hidden="false" customHeight="false" outlineLevel="0" collapsed="false">
      <c r="A17" s="4" t="s">
        <v>415</v>
      </c>
      <c r="B17" s="4" t="s">
        <v>1307</v>
      </c>
      <c r="C17" s="4" t="s">
        <v>407</v>
      </c>
      <c r="D17" s="4" t="s">
        <v>714</v>
      </c>
      <c r="E17" s="4" t="s">
        <v>736</v>
      </c>
    </row>
    <row r="18" customFormat="false" ht="15" hidden="false" customHeight="false" outlineLevel="0" collapsed="false">
      <c r="A18" s="4" t="s">
        <v>424</v>
      </c>
      <c r="B18" s="4" t="s">
        <v>1308</v>
      </c>
      <c r="C18" s="4" t="s">
        <v>416</v>
      </c>
      <c r="D18" s="4" t="s">
        <v>714</v>
      </c>
      <c r="E18" s="4" t="s">
        <v>738</v>
      </c>
    </row>
    <row r="19" customFormat="false" ht="23.85" hidden="false" customHeight="false" outlineLevel="0" collapsed="false">
      <c r="A19" s="4" t="s">
        <v>396</v>
      </c>
      <c r="B19" s="4" t="s">
        <v>1309</v>
      </c>
      <c r="C19" s="4" t="s">
        <v>388</v>
      </c>
      <c r="D19" s="4" t="s">
        <v>684</v>
      </c>
      <c r="E19" s="4" t="s">
        <v>732</v>
      </c>
    </row>
    <row r="20" customFormat="false" ht="15" hidden="false" customHeight="false" outlineLevel="0" collapsed="false">
      <c r="A20" s="4" t="s">
        <v>406</v>
      </c>
      <c r="B20" s="4" t="s">
        <v>1310</v>
      </c>
      <c r="C20" s="4" t="s">
        <v>397</v>
      </c>
      <c r="D20" s="4" t="s">
        <v>693</v>
      </c>
      <c r="E20" s="4" t="s">
        <v>696</v>
      </c>
    </row>
    <row r="21" customFormat="false" ht="15" hidden="false" customHeight="false" outlineLevel="0" collapsed="false">
      <c r="A21" s="4" t="s">
        <v>439</v>
      </c>
      <c r="B21" s="4" t="s">
        <v>1311</v>
      </c>
      <c r="C21" s="4" t="s">
        <v>431</v>
      </c>
      <c r="D21" s="4" t="s">
        <v>743</v>
      </c>
      <c r="E21" s="4" t="s">
        <v>744</v>
      </c>
    </row>
    <row r="22" customFormat="false" ht="15" hidden="false" customHeight="false" outlineLevel="0" collapsed="false">
      <c r="A22" s="4" t="s">
        <v>449</v>
      </c>
      <c r="B22" s="4" t="s">
        <v>1312</v>
      </c>
      <c r="C22" s="4" t="s">
        <v>440</v>
      </c>
      <c r="D22" s="4" t="s">
        <v>693</v>
      </c>
      <c r="E22" s="4" t="s">
        <v>723</v>
      </c>
    </row>
    <row r="23" customFormat="false" ht="23.85" hidden="false" customHeight="false" outlineLevel="0" collapsed="false">
      <c r="A23" s="4" t="s">
        <v>458</v>
      </c>
      <c r="B23" s="4" t="s">
        <v>1313</v>
      </c>
      <c r="C23" s="4" t="s">
        <v>450</v>
      </c>
      <c r="D23" s="4" t="s">
        <v>693</v>
      </c>
      <c r="E23" s="4" t="s">
        <v>685</v>
      </c>
    </row>
    <row r="24" customFormat="false" ht="15" hidden="false" customHeight="false" outlineLevel="0" collapsed="false">
      <c r="A24" s="4" t="s">
        <v>466</v>
      </c>
      <c r="B24" s="4" t="s">
        <v>1314</v>
      </c>
      <c r="C24" s="4" t="s">
        <v>459</v>
      </c>
      <c r="D24" s="4" t="s">
        <v>693</v>
      </c>
      <c r="E24" s="4" t="s">
        <v>750</v>
      </c>
    </row>
    <row r="25" customFormat="false" ht="15" hidden="false" customHeight="false" outlineLevel="0" collapsed="false">
      <c r="A25" s="4" t="s">
        <v>475</v>
      </c>
      <c r="B25" s="4" t="s">
        <v>1315</v>
      </c>
      <c r="C25" s="4" t="s">
        <v>467</v>
      </c>
      <c r="D25" s="4" t="s">
        <v>714</v>
      </c>
      <c r="E25" s="4" t="s">
        <v>752</v>
      </c>
    </row>
    <row r="26" customFormat="false" ht="15" hidden="false" customHeight="false" outlineLevel="0" collapsed="false">
      <c r="A26" s="4" t="s">
        <v>483</v>
      </c>
      <c r="B26" s="4" t="s">
        <v>1316</v>
      </c>
      <c r="C26" s="4" t="s">
        <v>476</v>
      </c>
      <c r="D26" s="4" t="s">
        <v>693</v>
      </c>
      <c r="E26" s="4" t="s">
        <v>706</v>
      </c>
    </row>
    <row r="27" customFormat="false" ht="23.85" hidden="false" customHeight="false" outlineLevel="0" collapsed="false">
      <c r="A27" s="4" t="s">
        <v>492</v>
      </c>
      <c r="B27" s="4" t="s">
        <v>1317</v>
      </c>
      <c r="C27" s="4" t="s">
        <v>484</v>
      </c>
      <c r="D27" s="4" t="s">
        <v>693</v>
      </c>
      <c r="E27" s="4" t="s">
        <v>702</v>
      </c>
    </row>
    <row r="28" customFormat="false" ht="23.85" hidden="false" customHeight="false" outlineLevel="0" collapsed="false">
      <c r="A28" s="4" t="s">
        <v>500</v>
      </c>
      <c r="B28" s="4" t="s">
        <v>1318</v>
      </c>
      <c r="C28" s="4" t="s">
        <v>493</v>
      </c>
      <c r="D28" s="4" t="s">
        <v>714</v>
      </c>
      <c r="E28" s="4" t="s">
        <v>756</v>
      </c>
    </row>
    <row r="29" customFormat="false" ht="15" hidden="false" customHeight="false" outlineLevel="0" collapsed="false">
      <c r="A29" s="4" t="s">
        <v>508</v>
      </c>
      <c r="B29" s="4" t="s">
        <v>1319</v>
      </c>
      <c r="C29" s="4" t="s">
        <v>501</v>
      </c>
      <c r="D29" s="4" t="s">
        <v>684</v>
      </c>
      <c r="E29" s="4" t="s">
        <v>750</v>
      </c>
    </row>
    <row r="30" customFormat="false" ht="15" hidden="false" customHeight="false" outlineLevel="0" collapsed="false">
      <c r="A30" s="4" t="s">
        <v>515</v>
      </c>
      <c r="B30" s="4" t="s">
        <v>1320</v>
      </c>
      <c r="C30" s="4" t="s">
        <v>509</v>
      </c>
      <c r="D30" s="4" t="s">
        <v>693</v>
      </c>
      <c r="E30" s="4" t="s">
        <v>685</v>
      </c>
    </row>
    <row r="31" customFormat="false" ht="15" hidden="false" customHeight="false" outlineLevel="0" collapsed="false">
      <c r="A31" s="4" t="s">
        <v>523</v>
      </c>
      <c r="B31" s="4" t="s">
        <v>1321</v>
      </c>
      <c r="C31" s="4" t="s">
        <v>516</v>
      </c>
      <c r="D31" s="4" t="s">
        <v>743</v>
      </c>
      <c r="E31" s="4" t="s">
        <v>762</v>
      </c>
    </row>
    <row r="32" customFormat="false" ht="23.85" hidden="false" customHeight="false" outlineLevel="0" collapsed="false">
      <c r="A32" s="4" t="s">
        <v>531</v>
      </c>
      <c r="B32" s="4" t="s">
        <v>1322</v>
      </c>
      <c r="C32" s="4" t="s">
        <v>213</v>
      </c>
      <c r="D32" s="4" t="s">
        <v>693</v>
      </c>
      <c r="E32" s="4" t="s">
        <v>720</v>
      </c>
    </row>
    <row r="33" customFormat="false" ht="15" hidden="false" customHeight="false" outlineLevel="0" collapsed="false">
      <c r="A33" s="4" t="s">
        <v>540</v>
      </c>
      <c r="B33" s="4" t="s">
        <v>1323</v>
      </c>
      <c r="C33" s="4" t="s">
        <v>532</v>
      </c>
      <c r="D33" s="4" t="s">
        <v>714</v>
      </c>
      <c r="E33" s="4" t="s">
        <v>765</v>
      </c>
    </row>
    <row r="35" customFormat="false" ht="15" hidden="false" customHeight="false" outlineLevel="0" collapsed="false">
      <c r="A35" s="2" t="s">
        <v>1324</v>
      </c>
    </row>
    <row r="36" customFormat="false" ht="15" hidden="false" customHeight="false" outlineLevel="0" collapsed="false">
      <c r="A36" s="2" t="s">
        <v>1325</v>
      </c>
    </row>
    <row r="37" customFormat="false" ht="15" hidden="false" customHeight="false" outlineLevel="0" collapsed="false">
      <c r="A37" s="2" t="s">
        <v>1326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2026-10-23T16:08:38Z</dcterms:created>
  <dc:creator>openpyxl</dc:creator>
  <dc:description/>
  <dc:language>en-US</dc:language>
  <cp:lastModifiedBy/>
  <dcterms:modified xsi:type="dcterms:W3CDTF">2026-10-23T16:08:38Z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