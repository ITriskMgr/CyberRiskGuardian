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800" yWindow="3780" windowWidth="45280" windowHeight="22480" tabRatio="600" firstSheet="0" activeTab="0" autoFilterDateGrouping="1"/>
  </bookViews>
  <sheets>
    <sheet xmlns:r="http://schemas.openxmlformats.org/officeDocument/2006/relationships" name="Analyse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M1" sheetId="3" state="visible" r:id="rId3"/>
    <sheet xmlns:r="http://schemas.openxmlformats.org/officeDocument/2006/relationships" name="S2" sheetId="4" state="visible" r:id="rId4"/>
    <sheet xmlns:r="http://schemas.openxmlformats.org/officeDocument/2006/relationships" name="M2" sheetId="5" state="visible" r:id="rId5"/>
    <sheet xmlns:r="http://schemas.openxmlformats.org/officeDocument/2006/relationships" name="S3" sheetId="6" state="visible" r:id="rId6"/>
    <sheet xmlns:r="http://schemas.openxmlformats.org/officeDocument/2006/relationships" name="M3" sheetId="7" state="visible" r:id="rId7"/>
    <sheet xmlns:r="http://schemas.openxmlformats.org/officeDocument/2006/relationships" name="S4" sheetId="8" state="visible" r:id="rId8"/>
    <sheet xmlns:r="http://schemas.openxmlformats.org/officeDocument/2006/relationships" name="M4" sheetId="9" state="visible" r:id="rId9"/>
    <sheet xmlns:r="http://schemas.openxmlformats.org/officeDocument/2006/relationships" name="S5" sheetId="10" state="visible" r:id="rId10"/>
    <sheet xmlns:r="http://schemas.openxmlformats.org/officeDocument/2006/relationships" name="M5" sheetId="11" state="visible" r:id="rId11"/>
    <sheet xmlns:r="http://schemas.openxmlformats.org/officeDocument/2006/relationships" name="S6" sheetId="12" state="visible" r:id="rId12"/>
    <sheet xmlns:r="http://schemas.openxmlformats.org/officeDocument/2006/relationships" name="M6" sheetId="13" state="visible" r:id="rId13"/>
    <sheet xmlns:r="http://schemas.openxmlformats.org/officeDocument/2006/relationships" name="S7" sheetId="14" state="visible" r:id="rId14"/>
    <sheet xmlns:r="http://schemas.openxmlformats.org/officeDocument/2006/relationships" name="M7" sheetId="15" state="visible" r:id="rId15"/>
    <sheet xmlns:r="http://schemas.openxmlformats.org/officeDocument/2006/relationships" name="S8" sheetId="16" state="visible" r:id="rId16"/>
    <sheet xmlns:r="http://schemas.openxmlformats.org/officeDocument/2006/relationships" name="M8" sheetId="17" state="visible" r:id="rId17"/>
    <sheet xmlns:r="http://schemas.openxmlformats.org/officeDocument/2006/relationships" name="S9" sheetId="18" state="visible" r:id="rId18"/>
    <sheet xmlns:r="http://schemas.openxmlformats.org/officeDocument/2006/relationships" name="M9" sheetId="19" state="visible" r:id="rId19"/>
    <sheet xmlns:r="http://schemas.openxmlformats.org/officeDocument/2006/relationships" name="S10" sheetId="20" state="visible" r:id="rId20"/>
    <sheet xmlns:r="http://schemas.openxmlformats.org/officeDocument/2006/relationships" name="M10" sheetId="21" state="visible" r:id="rId21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_ * #,##0.00_)\ &quot;$&quot;_ ;_ * \(#,##0.00\)\ &quot;$&quot;_ ;_ * &quot;-&quot;??_)\ &quot;$&quot;_ ;_ @_ "/>
    <numFmt numFmtId="166" formatCode="#,##0.0"/>
    <numFmt numFmtId="167" formatCode="0.0%"/>
  </numFmts>
  <fonts count="27">
    <font>
      <name val="Arial"/>
      <sz val="10"/>
    </font>
    <font>
      <name val="Arial"/>
      <family val="2"/>
      <sz val="10"/>
    </font>
    <font>
      <name val="Calibri"/>
      <family val="2"/>
      <color rgb="FF000000"/>
      <sz val="12"/>
    </font>
    <font>
      <name val="Arial"/>
      <family val="2"/>
      <b val="1"/>
      <sz val="10"/>
    </font>
    <font>
      <name val="Calibri"/>
      <family val="2"/>
      <b val="1"/>
      <color rgb="FF000000"/>
      <sz val="12"/>
    </font>
    <font>
      <name val="Verdana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color rgb="FF000000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sz val="8"/>
      <scheme val="minor"/>
    </font>
    <font>
      <name val="Arial"/>
      <family val="2"/>
      <b val="1"/>
      <sz val="12"/>
    </font>
    <font>
      <name val="Arial"/>
      <family val="2"/>
      <sz val="10"/>
    </font>
    <font>
      <name val="Calibri"/>
      <family val="2"/>
      <color rgb="FF9C0006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0"/>
    </font>
    <font>
      <name val="Arial"/>
      <family val="2"/>
      <b val="1"/>
      <sz val="14"/>
    </font>
    <font>
      <name val="Calibri"/>
      <family val="2"/>
      <color theme="6" tint="0.5999938962981048"/>
      <sz val="12"/>
      <scheme val="minor"/>
    </font>
    <font>
      <name val="Arial"/>
      <b val="1"/>
      <sz val="10"/>
    </font>
    <font>
      <name val="Arial"/>
      <b val="1"/>
      <color rgb="FFC00000"/>
      <sz val="10"/>
    </font>
    <font>
      <name val="Arial"/>
      <i val="1"/>
      <color rgb="FF404040"/>
      <sz val="9"/>
    </font>
    <font>
      <name val="Calibri"/>
      <b val="1"/>
      <sz val="10"/>
    </font>
    <font>
      <name val="Calibri"/>
      <sz val="10"/>
    </font>
    <font>
      <name val="Calibri"/>
      <sz val="9"/>
    </font>
    <font>
      <name val="Arial"/>
      <b val="1"/>
      <sz val="11"/>
    </font>
  </fonts>
  <fills count="1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"/>
        <bgColor rgb="FFFFFF00"/>
      </patternFill>
    </fill>
    <fill>
      <patternFill patternType="solid">
        <fgColor theme="6" tint="-0.249977111117893"/>
        <bgColor rgb="FFFFFF00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755851924192"/>
        <bgColor rgb="FF6D9EEB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7999816888943144"/>
        <bgColor rgb="FFD6E3BC"/>
      </patternFill>
    </fill>
    <fill>
      <patternFill patternType="solid">
        <fgColor theme="6" tint="0.3999755851924192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FFFF00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theme="0" tint="-0.149967955565050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theme="0" tint="-0.1499679555650502"/>
      </top>
      <bottom style="dotted">
        <color theme="0" tint="-0.1499679555650502"/>
      </bottom>
      <diagonal/>
    </border>
    <border>
      <left style="thin">
        <color auto="1"/>
      </left>
      <right style="thin">
        <color auto="1"/>
      </right>
      <top style="dotted">
        <color theme="0" tint="-0.1499679555650502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theme="0" tint="-0.1499679555650502"/>
      </top>
      <bottom style="dotted">
        <color theme="0" tint="-0.1499679555650502"/>
      </bottom>
      <diagonal/>
    </border>
  </borders>
  <cellStyleXfs count="6">
    <xf numFmtId="0" fontId="0" fillId="0" borderId="1"/>
    <xf numFmtId="0" fontId="7" fillId="0" borderId="1"/>
    <xf numFmtId="0" fontId="8" fillId="0" borderId="1"/>
    <xf numFmtId="44" fontId="14" fillId="0" borderId="1"/>
    <xf numFmtId="0" fontId="14" fillId="0" borderId="1"/>
    <xf numFmtId="0" fontId="15" fillId="12" borderId="1"/>
  </cellStyleXfs>
  <cellXfs count="197">
    <xf numFmtId="0" fontId="0" fillId="0" borderId="0" pivotButton="0" quotePrefix="0" xfId="0"/>
    <xf numFmtId="0" fontId="0" fillId="2" borderId="0" pivotButton="0" quotePrefix="0" xfId="0"/>
    <xf numFmtId="0" fontId="9" fillId="2" borderId="1" pivotButton="0" quotePrefix="0" xfId="0"/>
    <xf numFmtId="0" fontId="9" fillId="5" borderId="12" pivotButton="0" quotePrefix="0" xfId="0"/>
    <xf numFmtId="0" fontId="9" fillId="2" borderId="8" applyAlignment="1" pivotButton="0" quotePrefix="0" xfId="0">
      <alignment horizontal="center"/>
    </xf>
    <xf numFmtId="0" fontId="9" fillId="5" borderId="13" pivotButton="0" quotePrefix="0" xfId="0"/>
    <xf numFmtId="164" fontId="9" fillId="2" borderId="1" pivotButton="0" quotePrefix="0" xfId="0"/>
    <xf numFmtId="0" fontId="11" fillId="5" borderId="11" applyAlignment="1" pivotButton="0" quotePrefix="0" xfId="0">
      <alignment horizontal="center" vertical="center"/>
    </xf>
    <xf numFmtId="0" fontId="9" fillId="5" borderId="1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/>
    </xf>
    <xf numFmtId="0" fontId="4" fillId="0" borderId="20" pivotButton="0" quotePrefix="0" xfId="0"/>
    <xf numFmtId="0" fontId="2" fillId="0" borderId="1" pivotButton="0" quotePrefix="0" xfId="0"/>
    <xf numFmtId="2" fontId="2" fillId="0" borderId="1" pivotButton="0" quotePrefix="0" xfId="0"/>
    <xf numFmtId="0" fontId="2" fillId="0" borderId="21" pivotButton="0" quotePrefix="0" xfId="0"/>
    <xf numFmtId="0" fontId="2" fillId="0" borderId="20" pivotButton="0" quotePrefix="0" xfId="0"/>
    <xf numFmtId="0" fontId="6" fillId="0" borderId="1" pivotButton="0" quotePrefix="0" xfId="0"/>
    <xf numFmtId="0" fontId="4" fillId="10" borderId="17" applyAlignment="1" pivotButton="0" quotePrefix="0" xfId="0">
      <alignment horizontal="center"/>
    </xf>
    <xf numFmtId="0" fontId="4" fillId="10" borderId="18" applyAlignment="1" pivotButton="0" quotePrefix="0" xfId="0">
      <alignment horizontal="center" vertical="center"/>
    </xf>
    <xf numFmtId="0" fontId="2" fillId="10" borderId="18" pivotButton="0" quotePrefix="0" xfId="0"/>
    <xf numFmtId="2" fontId="2" fillId="10" borderId="18" applyAlignment="1" pivotButton="0" quotePrefix="0" xfId="0">
      <alignment horizontal="center" vertical="center"/>
    </xf>
    <xf numFmtId="0" fontId="4" fillId="10" borderId="19" applyAlignment="1" pivotButton="0" quotePrefix="0" xfId="0">
      <alignment horizontal="center" vertical="center"/>
    </xf>
    <xf numFmtId="0" fontId="4" fillId="10" borderId="14" pivotButton="0" quotePrefix="0" xfId="0"/>
    <xf numFmtId="0" fontId="2" fillId="10" borderId="15" pivotButton="0" quotePrefix="0" xfId="0"/>
    <xf numFmtId="0" fontId="4" fillId="10" borderId="15" applyAlignment="1" pivotButton="0" quotePrefix="0" xfId="0">
      <alignment horizontal="center" vertical="center"/>
    </xf>
    <xf numFmtId="2" fontId="4" fillId="10" borderId="15" applyAlignment="1" pivotButton="0" quotePrefix="0" xfId="0">
      <alignment horizontal="center" vertical="center"/>
    </xf>
    <xf numFmtId="0" fontId="5" fillId="10" borderId="15" applyAlignment="1" pivotButton="0" quotePrefix="0" xfId="0">
      <alignment horizontal="center" vertical="center"/>
    </xf>
    <xf numFmtId="0" fontId="5" fillId="10" borderId="16" applyAlignment="1" pivotButton="0" quotePrefix="0" xfId="0">
      <alignment horizontal="center" vertical="center"/>
    </xf>
    <xf numFmtId="2" fontId="2" fillId="10" borderId="15" pivotButton="0" quotePrefix="0" xfId="0"/>
    <xf numFmtId="0" fontId="2" fillId="10" borderId="16" pivotButton="0" quotePrefix="0" xfId="0"/>
    <xf numFmtId="0" fontId="2" fillId="10" borderId="14" pivotButton="0" quotePrefix="0" xfId="0"/>
    <xf numFmtId="0" fontId="12" fillId="2" borderId="8" pivotButton="0" quotePrefix="0" xfId="0"/>
    <xf numFmtId="0" fontId="1" fillId="0" borderId="0" pivotButton="0" quotePrefix="0" xfId="0"/>
    <xf numFmtId="0" fontId="13" fillId="11" borderId="0" pivotButton="0" quotePrefix="0" xfId="0"/>
    <xf numFmtId="0" fontId="14" fillId="0" borderId="22" applyAlignment="1" pivotButton="0" quotePrefix="1" xfId="112">
      <alignment horizontal="left" vertical="center" wrapText="1" indent="1"/>
    </xf>
    <xf numFmtId="0" fontId="14" fillId="0" borderId="23" applyAlignment="1" pivotButton="0" quotePrefix="1" xfId="112">
      <alignment horizontal="left" vertical="center" wrapText="1" indent="1"/>
    </xf>
    <xf numFmtId="0" fontId="16" fillId="10" borderId="15" applyAlignment="1" pivotButton="0" quotePrefix="0" xfId="112">
      <alignment horizontal="center" vertical="center"/>
    </xf>
    <xf numFmtId="0" fontId="14" fillId="0" borderId="22" applyAlignment="1" pivotButton="0" quotePrefix="1" xfId="112">
      <alignment vertical="center" wrapText="1"/>
    </xf>
    <xf numFmtId="0" fontId="14" fillId="0" borderId="23" applyAlignment="1" pivotButton="0" quotePrefix="1" xfId="112">
      <alignment vertical="center" wrapText="1"/>
    </xf>
    <xf numFmtId="0" fontId="14" fillId="0" borderId="13" applyAlignment="1" pivotButton="0" quotePrefix="1" xfId="112">
      <alignment horizontal="left" vertical="center" wrapText="1" indent="1"/>
    </xf>
    <xf numFmtId="0" fontId="14" fillId="0" borderId="12" applyAlignment="1" pivotButton="0" quotePrefix="1" xfId="112">
      <alignment horizontal="left" vertical="center" wrapText="1" indent="1"/>
    </xf>
    <xf numFmtId="0" fontId="14" fillId="0" borderId="24" applyAlignment="1" pivotButton="0" quotePrefix="1" xfId="112">
      <alignment horizontal="left" vertical="center" wrapText="1" indent="1"/>
    </xf>
    <xf numFmtId="0" fontId="4" fillId="10" borderId="14" applyAlignment="1" pivotButton="0" quotePrefix="0" xfId="0">
      <alignment horizontal="center"/>
    </xf>
    <xf numFmtId="0" fontId="4" fillId="6" borderId="17" applyAlignment="1" pivotButton="0" quotePrefix="0" xfId="0">
      <alignment horizontal="center"/>
    </xf>
    <xf numFmtId="0" fontId="4" fillId="6" borderId="14" applyAlignment="1" pivotButton="0" quotePrefix="0" xfId="0">
      <alignment horizontal="center"/>
    </xf>
    <xf numFmtId="0" fontId="0" fillId="6" borderId="0" pivotButton="0" quotePrefix="0" xfId="0"/>
    <xf numFmtId="0" fontId="16" fillId="6" borderId="15" applyAlignment="1" pivotButton="0" quotePrefix="0" xfId="112">
      <alignment horizontal="center" vertical="center"/>
    </xf>
    <xf numFmtId="0" fontId="1" fillId="6" borderId="0" pivotButton="0" quotePrefix="0" xfId="0"/>
    <xf numFmtId="0" fontId="1" fillId="0" borderId="1" pivotButton="0" quotePrefix="0" xfId="0"/>
    <xf numFmtId="0" fontId="0" fillId="13" borderId="0" pivotButton="0" quotePrefix="0" xfId="0"/>
    <xf numFmtId="0" fontId="3" fillId="0" borderId="0" pivotButton="0" quotePrefix="0" xfId="0"/>
    <xf numFmtId="0" fontId="3" fillId="14" borderId="0" applyAlignment="1" pivotButton="0" quotePrefix="0" xfId="0">
      <alignment horizontal="center"/>
    </xf>
    <xf numFmtId="0" fontId="12" fillId="8" borderId="8" pivotButton="0" quotePrefix="0" xfId="0"/>
    <xf numFmtId="0" fontId="9" fillId="9" borderId="8" applyAlignment="1" pivotButton="0" quotePrefix="0" xfId="0">
      <alignment horizontal="center"/>
    </xf>
    <xf numFmtId="0" fontId="10" fillId="15" borderId="3" pivotButton="0" quotePrefix="0" xfId="0"/>
    <xf numFmtId="0" fontId="10" fillId="15" borderId="5" pivotButton="0" quotePrefix="0" xfId="0"/>
    <xf numFmtId="0" fontId="9" fillId="14" borderId="8" applyAlignment="1" pivotButton="0" quotePrefix="0" xfId="0">
      <alignment horizontal="right"/>
    </xf>
    <xf numFmtId="0" fontId="0" fillId="2" borderId="1" pivotButton="0" quotePrefix="0" xfId="0"/>
    <xf numFmtId="0" fontId="11" fillId="4" borderId="10" applyAlignment="1" pivotButton="0" quotePrefix="0" xfId="0">
      <alignment horizontal="right"/>
    </xf>
    <xf numFmtId="0" fontId="3" fillId="6" borderId="8" applyAlignment="1" pivotButton="0" quotePrefix="0" xfId="0">
      <alignment horizontal="center"/>
    </xf>
    <xf numFmtId="0" fontId="3" fillId="15" borderId="8" pivotButton="0" quotePrefix="0" xfId="0"/>
    <xf numFmtId="0" fontId="0" fillId="15" borderId="8" pivotButton="0" quotePrefix="0" xfId="0"/>
    <xf numFmtId="0" fontId="0" fillId="15" borderId="1" pivotButton="0" quotePrefix="0" xfId="0"/>
    <xf numFmtId="0" fontId="0" fillId="15" borderId="4" pivotButton="0" quotePrefix="0" xfId="0"/>
    <xf numFmtId="0" fontId="0" fillId="15" borderId="6" pivotButton="0" quotePrefix="0" xfId="0"/>
    <xf numFmtId="0" fontId="9" fillId="5" borderId="7" pivotButton="0" quotePrefix="0" xfId="0"/>
    <xf numFmtId="164" fontId="9" fillId="5" borderId="7" pivotButton="0" quotePrefix="0" xfId="0"/>
    <xf numFmtId="164" fontId="9" fillId="5" borderId="25" pivotButton="0" quotePrefix="0" xfId="0"/>
    <xf numFmtId="0" fontId="9" fillId="15" borderId="1" pivotButton="0" quotePrefix="0" xfId="0"/>
    <xf numFmtId="0" fontId="11" fillId="6" borderId="8" applyAlignment="1" pivotButton="0" quotePrefix="0" xfId="0">
      <alignment horizontal="right"/>
    </xf>
    <xf numFmtId="0" fontId="9" fillId="8" borderId="8" applyAlignment="1" pivotButton="0" quotePrefix="0" xfId="0">
      <alignment horizontal="center"/>
    </xf>
    <xf numFmtId="0" fontId="9" fillId="2" borderId="8" applyAlignment="1" pivotButton="0" quotePrefix="0" xfId="0">
      <alignment horizontal="right"/>
    </xf>
    <xf numFmtId="0" fontId="1" fillId="14" borderId="0" pivotButton="0" quotePrefix="0" xfId="0"/>
    <xf numFmtId="0" fontId="0" fillId="14" borderId="0" pivotButton="0" quotePrefix="0" xfId="0"/>
    <xf numFmtId="0" fontId="9" fillId="14" borderId="1" pivotButton="0" quotePrefix="0" xfId="0"/>
    <xf numFmtId="0" fontId="11" fillId="4" borderId="8" applyAlignment="1" pivotButton="0" quotePrefix="0" xfId="0">
      <alignment horizontal="center" vertical="center"/>
    </xf>
    <xf numFmtId="0" fontId="11" fillId="6" borderId="8" applyAlignment="1" pivotButton="0" quotePrefix="0" xfId="0">
      <alignment horizontal="center" vertical="center"/>
    </xf>
    <xf numFmtId="164" fontId="11" fillId="4" borderId="8" applyAlignment="1" pivotButton="0" quotePrefix="0" xfId="0">
      <alignment horizontal="center" vertical="center"/>
    </xf>
    <xf numFmtId="165" fontId="11" fillId="7" borderId="8" applyAlignment="1" pivotButton="0" quotePrefix="0" xfId="111">
      <alignment horizontal="center"/>
    </xf>
    <xf numFmtId="0" fontId="0" fillId="16" borderId="0" pivotButton="0" quotePrefix="0" xfId="0"/>
    <xf numFmtId="0" fontId="1" fillId="16" borderId="0" pivotButton="0" quotePrefix="0" xfId="0"/>
    <xf numFmtId="0" fontId="9" fillId="14" borderId="8" pivotButton="0" quotePrefix="0" xfId="0"/>
    <xf numFmtId="0" fontId="17" fillId="0" borderId="0" pivotButton="0" quotePrefix="0" xfId="0"/>
    <xf numFmtId="0" fontId="17" fillId="0" borderId="1" pivotButton="0" quotePrefix="0" xfId="0"/>
    <xf numFmtId="0" fontId="3" fillId="13" borderId="0" pivotButton="0" quotePrefix="0" xfId="0"/>
    <xf numFmtId="15" fontId="3" fillId="14" borderId="0" pivotButton="0" quotePrefix="0" xfId="0"/>
    <xf numFmtId="0" fontId="7" fillId="16" borderId="0" pivotButton="0" quotePrefix="0" xfId="114"/>
    <xf numFmtId="0" fontId="4" fillId="10" borderId="1" applyAlignment="1" pivotButton="0" quotePrefix="0" xfId="0">
      <alignment horizontal="center" vertical="center"/>
    </xf>
    <xf numFmtId="0" fontId="9" fillId="14" borderId="8" applyAlignment="1" pivotButton="0" quotePrefix="0" xfId="0">
      <alignment horizontal="center"/>
    </xf>
    <xf numFmtId="0" fontId="9" fillId="2" borderId="8" applyProtection="1" pivotButton="0" quotePrefix="0" xfId="0">
      <protection locked="0" hidden="0"/>
    </xf>
    <xf numFmtId="0" fontId="9" fillId="8" borderId="8" applyProtection="1" pivotButton="0" quotePrefix="0" xfId="0">
      <protection locked="0" hidden="0"/>
    </xf>
    <xf numFmtId="164" fontId="11" fillId="3" borderId="8" applyProtection="1" pivotButton="0" quotePrefix="0" xfId="0">
      <protection locked="0" hidden="0"/>
    </xf>
    <xf numFmtId="0" fontId="9" fillId="0" borderId="10" applyProtection="1" pivotButton="0" quotePrefix="0" xfId="0">
      <protection locked="0" hidden="0"/>
    </xf>
    <xf numFmtId="0" fontId="9" fillId="0" borderId="8" applyProtection="1" pivotButton="0" quotePrefix="0" xfId="0">
      <protection locked="0" hidden="0"/>
    </xf>
    <xf numFmtId="164" fontId="9" fillId="2" borderId="8" applyProtection="1" pivotButton="0" quotePrefix="0" xfId="0">
      <protection locked="0" hidden="0"/>
    </xf>
    <xf numFmtId="166" fontId="9" fillId="2" borderId="9" applyProtection="1" pivotButton="0" quotePrefix="0" xfId="0">
      <protection locked="0" hidden="0"/>
    </xf>
    <xf numFmtId="0" fontId="9" fillId="8" borderId="10" applyProtection="1" pivotButton="0" quotePrefix="0" xfId="0">
      <protection locked="0" hidden="0"/>
    </xf>
    <xf numFmtId="164" fontId="9" fillId="9" borderId="8" applyProtection="1" pivotButton="0" quotePrefix="0" xfId="0">
      <protection locked="0" hidden="0"/>
    </xf>
    <xf numFmtId="166" fontId="9" fillId="9" borderId="9" applyProtection="1" pivotButton="0" quotePrefix="0" xfId="0">
      <protection locked="0" hidden="0"/>
    </xf>
    <xf numFmtId="0" fontId="1" fillId="2" borderId="0" pivotButton="0" quotePrefix="0" xfId="0"/>
    <xf numFmtId="0" fontId="7" fillId="2" borderId="0" pivotButton="0" quotePrefix="0" xfId="114"/>
    <xf numFmtId="0" fontId="4" fillId="6" borderId="18" applyAlignment="1" pivotButton="0" quotePrefix="0" xfId="0">
      <alignment horizontal="center" vertical="center"/>
    </xf>
    <xf numFmtId="0" fontId="2" fillId="6" borderId="18" pivotButton="0" quotePrefix="0" xfId="0"/>
    <xf numFmtId="0" fontId="4" fillId="6" borderId="15" applyAlignment="1" pivotButton="0" quotePrefix="0" xfId="0">
      <alignment horizontal="center" vertical="center"/>
    </xf>
    <xf numFmtId="2" fontId="4" fillId="6" borderId="15" applyAlignment="1" pivotButton="0" quotePrefix="0" xfId="0">
      <alignment horizontal="center" vertical="center"/>
    </xf>
    <xf numFmtId="0" fontId="4" fillId="6" borderId="1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9" fillId="0" borderId="1" applyAlignment="1" pivotButton="0" quotePrefix="0" xfId="0">
      <alignment horizontal="right"/>
    </xf>
    <xf numFmtId="164" fontId="9" fillId="3" borderId="8" pivotButton="0" quotePrefix="0" xfId="0"/>
    <xf numFmtId="166" fontId="9" fillId="2" borderId="9" pivotButton="0" quotePrefix="0" xfId="0"/>
    <xf numFmtId="0" fontId="1" fillId="14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11" fillId="4" borderId="8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1" fillId="4" borderId="7" applyAlignment="1" pivotButton="0" quotePrefix="0" xfId="0">
      <alignment horizontal="center" vertical="center"/>
    </xf>
    <xf numFmtId="164" fontId="11" fillId="4" borderId="2" applyAlignment="1" pivotButton="0" quotePrefix="0" xfId="0">
      <alignment horizontal="center" vertical="center"/>
    </xf>
    <xf numFmtId="164" fontId="11" fillId="4" borderId="7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11" fillId="4" borderId="11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8" fillId="13" borderId="0" applyAlignment="1" pivotButton="0" quotePrefix="0" xfId="0">
      <alignment horizontal="center"/>
    </xf>
    <xf numFmtId="0" fontId="18" fillId="17" borderId="0" applyAlignment="1" pivotButton="0" quotePrefix="0" xfId="0">
      <alignment horizontal="center"/>
    </xf>
    <xf numFmtId="0" fontId="23" fillId="4" borderId="27" applyAlignment="1" pivotButton="0" quotePrefix="0" xfId="0">
      <alignment horizontal="center" vertical="center" wrapText="1"/>
    </xf>
    <xf numFmtId="164" fontId="23" fillId="4" borderId="27" applyAlignment="1" pivotButton="0" quotePrefix="0" xfId="0">
      <alignment horizontal="center" vertical="center" wrapText="1"/>
    </xf>
    <xf numFmtId="0" fontId="20" fillId="6" borderId="9" applyAlignment="1" pivotButton="0" quotePrefix="0" xfId="0">
      <alignment horizontal="center" vertical="center" wrapText="1"/>
    </xf>
    <xf numFmtId="0" fontId="20" fillId="6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7" pivotButton="0" quotePrefix="0" xfId="0"/>
    <xf numFmtId="0" fontId="0" fillId="0" borderId="6" pivotButton="0" quotePrefix="0" xfId="0"/>
    <xf numFmtId="164" fontId="20" fillId="4" borderId="8" applyAlignment="1" pivotButton="0" quotePrefix="0" xfId="0">
      <alignment horizontal="center" vertical="center" wrapText="1"/>
    </xf>
    <xf numFmtId="4" fontId="9" fillId="3" borderId="8" pivotButton="0" quotePrefix="0" xfId="0"/>
    <xf numFmtId="4" fontId="9" fillId="2" borderId="9" pivotButton="0" quotePrefix="0" xfId="0"/>
    <xf numFmtId="3" fontId="9" fillId="0" borderId="10" applyProtection="1" pivotButton="0" quotePrefix="0" xfId="0">
      <protection locked="0" hidden="0"/>
    </xf>
    <xf numFmtId="2" fontId="9" fillId="0" borderId="8" applyProtection="1" pivotButton="0" quotePrefix="0" xfId="0">
      <protection locked="0" hidden="0"/>
    </xf>
    <xf numFmtId="4" fontId="9" fillId="2" borderId="8" applyProtection="1" pivotButton="0" quotePrefix="0" xfId="0">
      <protection locked="0" hidden="0"/>
    </xf>
    <xf numFmtId="4" fontId="11" fillId="3" borderId="8" applyProtection="1" pivotButton="0" quotePrefix="0" xfId="0">
      <protection locked="0" hidden="0"/>
    </xf>
    <xf numFmtId="4" fontId="9" fillId="2" borderId="9" applyProtection="1" pivotButton="0" quotePrefix="0" xfId="0">
      <protection locked="0" hidden="0"/>
    </xf>
    <xf numFmtId="2" fontId="9" fillId="2" borderId="9" applyProtection="1" pivotButton="0" quotePrefix="0" xfId="0">
      <protection locked="0" hidden="0"/>
    </xf>
    <xf numFmtId="4" fontId="24" fillId="2" borderId="9" applyProtection="1" pivotButton="0" quotePrefix="0" xfId="0">
      <protection locked="0" hidden="0"/>
    </xf>
    <xf numFmtId="4" fontId="25" fillId="2" borderId="9" applyProtection="1" pivotButton="0" quotePrefix="0" xfId="0">
      <protection locked="0" hidden="0"/>
    </xf>
    <xf numFmtId="3" fontId="9" fillId="8" borderId="10" applyProtection="1" pivotButton="0" quotePrefix="0" xfId="0">
      <protection locked="0" hidden="0"/>
    </xf>
    <xf numFmtId="2" fontId="9" fillId="8" borderId="8" applyProtection="1" pivotButton="0" quotePrefix="0" xfId="0">
      <protection locked="0" hidden="0"/>
    </xf>
    <xf numFmtId="4" fontId="9" fillId="9" borderId="8" applyProtection="1" pivotButton="0" quotePrefix="0" xfId="0">
      <protection locked="0" hidden="0"/>
    </xf>
    <xf numFmtId="4" fontId="9" fillId="9" borderId="9" applyProtection="1" pivotButton="0" quotePrefix="0" xfId="0">
      <protection locked="0" hidden="0"/>
    </xf>
    <xf numFmtId="2" fontId="9" fillId="9" borderId="9" applyProtection="1" pivotButton="0" quotePrefix="0" xfId="0">
      <protection locked="0" hidden="0"/>
    </xf>
    <xf numFmtId="4" fontId="24" fillId="9" borderId="9" applyProtection="1" pivotButton="0" quotePrefix="0" xfId="0">
      <protection locked="0" hidden="0"/>
    </xf>
    <xf numFmtId="4" fontId="25" fillId="9" borderId="9" applyProtection="1" pivotButton="0" quotePrefix="0" xfId="0">
      <protection locked="0" hidden="0"/>
    </xf>
    <xf numFmtId="165" fontId="11" fillId="7" borderId="8" applyAlignment="1" pivotButton="0" quotePrefix="0" xfId="111">
      <alignment horizontal="center"/>
    </xf>
    <xf numFmtId="0" fontId="21" fillId="0" borderId="0" pivotButton="0" quotePrefix="0" xfId="0"/>
    <xf numFmtId="164" fontId="20" fillId="2" borderId="1" pivotButton="0" quotePrefix="0" xfId="0"/>
    <xf numFmtId="3" fontId="19" fillId="0" borderId="1" applyAlignment="1" pivotButton="0" quotePrefix="0" xfId="0">
      <alignment horizontal="right"/>
    </xf>
    <xf numFmtId="0" fontId="26" fillId="2" borderId="1" pivotButton="0" quotePrefix="0" xfId="0"/>
    <xf numFmtId="3" fontId="9" fillId="2" borderId="8" applyAlignment="1" pivotButton="0" quotePrefix="0" xfId="0">
      <alignment horizontal="right"/>
    </xf>
    <xf numFmtId="3" fontId="20" fillId="18" borderId="0" pivotButton="0" quotePrefix="0" xfId="0"/>
    <xf numFmtId="167" fontId="20" fillId="0" borderId="0" pivotButton="0" quotePrefix="0" xfId="0"/>
    <xf numFmtId="0" fontId="1" fillId="18" borderId="0" pivotButton="0" quotePrefix="0" xfId="0"/>
    <xf numFmtId="3" fontId="20" fillId="0" borderId="0" pivotButton="0" quotePrefix="0" xfId="0"/>
    <xf numFmtId="0" fontId="9" fillId="18" borderId="1" pivotButton="0" quotePrefix="0" xfId="0"/>
    <xf numFmtId="0" fontId="20" fillId="0" borderId="0" pivotButton="0" quotePrefix="0" xfId="0"/>
    <xf numFmtId="0" fontId="22" fillId="0" borderId="0" applyAlignment="1" pivotButton="0" quotePrefix="0" xfId="0">
      <alignment vertical="top" wrapText="1"/>
    </xf>
    <xf numFmtId="0" fontId="7" fillId="0" borderId="0" pivotButton="0" quotePrefix="0" xfId="114"/>
    <xf numFmtId="0" fontId="1" fillId="14" borderId="1" applyAlignment="1" pivotButton="0" quotePrefix="0" xfId="0">
      <alignment horizontal="center"/>
    </xf>
    <xf numFmtId="0" fontId="22" fillId="0" borderId="0" pivotButton="0" quotePrefix="0" xfId="0"/>
    <xf numFmtId="0" fontId="18" fillId="13" borderId="1" applyAlignment="1" pivotButton="0" quotePrefix="0" xfId="0">
      <alignment horizontal="center"/>
    </xf>
    <xf numFmtId="0" fontId="0" fillId="6" borderId="1" pivotButton="0" quotePrefix="0" xfId="0"/>
    <xf numFmtId="0" fontId="16" fillId="10" borderId="14" pivotButton="0" quotePrefix="0" xfId="0"/>
    <xf numFmtId="0" fontId="0" fillId="0" borderId="1" pivotButton="0" quotePrefix="0" xfId="0"/>
    <xf numFmtId="0" fontId="20" fillId="18" borderId="0" pivotButton="0" quotePrefix="0" xfId="0"/>
    <xf numFmtId="0" fontId="16" fillId="10" borderId="17" applyAlignment="1" pivotButton="0" quotePrefix="0" xfId="0">
      <alignment horizontal="center"/>
    </xf>
    <xf numFmtId="0" fontId="16" fillId="6" borderId="17" applyAlignment="1" pivotButton="0" quotePrefix="0" xfId="0">
      <alignment horizontal="center"/>
    </xf>
    <xf numFmtId="0" fontId="16" fillId="10" borderId="18" applyAlignment="1" pivotButton="0" quotePrefix="0" xfId="0">
      <alignment horizontal="center" vertical="center"/>
    </xf>
    <xf numFmtId="0" fontId="16" fillId="10" borderId="19" applyAlignment="1" pivotButton="0" quotePrefix="0" xfId="0">
      <alignment horizontal="center" vertical="center"/>
    </xf>
    <xf numFmtId="0" fontId="16" fillId="10" borderId="14" applyAlignment="1" pivotButton="0" quotePrefix="0" xfId="0">
      <alignment horizontal="center"/>
    </xf>
    <xf numFmtId="0" fontId="16" fillId="6" borderId="14" applyAlignment="1" pivotButton="0" quotePrefix="0" xfId="0">
      <alignment horizontal="center"/>
    </xf>
    <xf numFmtId="0" fontId="16" fillId="10" borderId="15" applyAlignment="1" pivotButton="0" quotePrefix="0" xfId="0">
      <alignment horizontal="center" vertical="center"/>
    </xf>
    <xf numFmtId="2" fontId="16" fillId="10" borderId="15" applyAlignment="1" pivotButton="0" quotePrefix="0" xfId="0">
      <alignment horizontal="center" vertical="center"/>
    </xf>
    <xf numFmtId="0" fontId="16" fillId="0" borderId="20" pivotButton="0" quotePrefix="0" xfId="0"/>
    <xf numFmtId="0" fontId="14" fillId="0" borderId="28" applyAlignment="1" pivotButton="0" quotePrefix="0" xfId="0">
      <alignment horizontal="left" vertical="center" wrapText="1" indent="1"/>
    </xf>
    <xf numFmtId="0" fontId="14" fillId="0" borderId="1" pivotButton="0" quotePrefix="0" xfId="0"/>
    <xf numFmtId="0" fontId="16" fillId="6" borderId="15" applyAlignment="1" pivotButton="0" quotePrefix="0" xfId="0">
      <alignment horizontal="center" vertical="center"/>
    </xf>
    <xf numFmtId="0" fontId="14" fillId="6" borderId="1" pivotButton="0" quotePrefix="0" xfId="0"/>
    <xf numFmtId="0" fontId="20" fillId="0" borderId="1" pivotButton="0" quotePrefix="0" xfId="0"/>
    <xf numFmtId="0" fontId="13" fillId="11" borderId="1" pivotButton="0" quotePrefix="0" xfId="0"/>
    <xf numFmtId="3" fontId="13" fillId="11" borderId="1" pivotButton="0" quotePrefix="0" xfId="0"/>
    <xf numFmtId="2" fontId="13" fillId="11" borderId="1" pivotButton="0" quotePrefix="0" xfId="0"/>
    <xf numFmtId="0" fontId="21" fillId="0" borderId="1" pivotButton="0" quotePrefix="0" xfId="0"/>
    <xf numFmtId="0" fontId="18" fillId="17" borderId="1" applyAlignment="1" pivotButton="0" quotePrefix="0" xfId="0">
      <alignment horizontal="center"/>
    </xf>
    <xf numFmtId="49" fontId="9" fillId="14" borderId="8" applyAlignment="1" pivotButton="0" quotePrefix="0" xfId="0">
      <alignment shrinkToFit="1"/>
    </xf>
    <xf numFmtId="9" fontId="9" fillId="2" borderId="8" applyAlignment="1" pivotButton="0" quotePrefix="0" xfId="0">
      <alignment horizontal="center"/>
    </xf>
    <xf numFmtId="49" fontId="9" fillId="2" borderId="8" applyAlignment="1" pivotButton="0" quotePrefix="0" xfId="0">
      <alignment horizontal="center"/>
    </xf>
    <xf numFmtId="9" fontId="9" fillId="9" borderId="8" applyAlignment="1" pivotButton="0" quotePrefix="0" xfId="0">
      <alignment horizontal="center"/>
    </xf>
    <xf numFmtId="49" fontId="9" fillId="9" borderId="8" applyAlignment="1" pivotButton="0" quotePrefix="0" xfId="0">
      <alignment horizontal="center"/>
    </xf>
    <xf numFmtId="0" fontId="22" fillId="0" borderId="1" applyAlignment="1" pivotButton="0" quotePrefix="0" xfId="0">
      <alignment vertical="top" wrapText="1"/>
    </xf>
    <xf numFmtId="2" fontId="20" fillId="0" borderId="0" pivotButton="0" quotePrefix="0" xfId="0"/>
  </cellXfs>
  <cellStyles count="6">
    <cellStyle name="Normal" xfId="0" builtinId="0"/>
    <cellStyle name="Lien hypertexte" xfId="1" builtinId="8" hidden="1"/>
    <cellStyle name="Lien hypertexte visité" xfId="2" builtinId="9" hidden="1"/>
    <cellStyle name="Monétaire" xfId="3" builtinId="4"/>
    <cellStyle name="Normal 2" xfId="4"/>
    <cellStyle name="Insatisfaisant 2" xf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 val="1"/>
        <color rgb="FFC00000"/>
      </font>
    </dxf>
    <dxf>
      <font>
        <b val="1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vd.nist.gov/vuln-metrics/cvss/v4-calculator" TargetMode="External" Id="rId1"/><Relationship Type="http://schemas.openxmlformats.org/officeDocument/2006/relationships/hyperlink" Target="https://nvd.nist.gov/vuln-metrics/cvss/v4-calculator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tabSelected="1" zoomScale="130" zoomScaleNormal="130" workbookViewId="0">
      <selection activeCell="F34" sqref="F34"/>
    </sheetView>
  </sheetViews>
  <sheetFormatPr baseColWidth="10" defaultColWidth="14.5" defaultRowHeight="12.75" customHeight="1"/>
  <cols>
    <col width="1.33203125" customWidth="1" style="1" min="1" max="1"/>
    <col width="2.5" customWidth="1" style="1" min="2" max="2"/>
    <col width="8.33203125" customWidth="1" style="1" min="3" max="3"/>
    <col width="35.83203125" customWidth="1" style="1" min="4" max="4"/>
    <col outlineLevel="1" width="7.83203125" customWidth="1" style="1" min="5" max="11"/>
    <col width="30" customWidth="1" min="8" max="8"/>
    <col outlineLevel="1" width="13" customWidth="1" style="1" min="12" max="12"/>
    <col outlineLevel="1" width="13" customWidth="1" style="1" min="13" max="13"/>
    <col outlineLevel="1" width="13" customWidth="1" style="1" min="14" max="14"/>
    <col width="2.33203125" bestFit="1" customWidth="1" style="1" min="15" max="15"/>
    <col width="10.5" bestFit="1" customWidth="1" style="1" min="16" max="16"/>
    <col width="13" bestFit="1" customWidth="1" style="1" min="17" max="17"/>
    <col width="12.5" bestFit="1" customWidth="1" style="1" min="18" max="18"/>
    <col width="11" customWidth="1" style="1" min="19" max="19"/>
    <col width="10.5" customWidth="1" style="1" min="20" max="20"/>
    <col width="9.5" customWidth="1" style="1" min="21" max="21"/>
    <col width="2.33203125" customWidth="1" style="1" min="22" max="22"/>
    <col width="14.83203125" customWidth="1" style="1" min="23" max="23"/>
    <col width="2.33203125" customWidth="1" style="1" min="24" max="16384"/>
    <col width="12" customWidth="1" min="25" max="25"/>
    <col width="13" customWidth="1" min="26" max="26"/>
    <col width="34" customWidth="1" min="27" max="27"/>
    <col width="14" customWidth="1" min="28" max="28"/>
    <col width="60" customWidth="1" min="29" max="29"/>
    <col width="22" customWidth="1" min="30" max="30"/>
    <col width="22" customWidth="1" min="31" max="31"/>
  </cols>
  <sheetData>
    <row r="1" ht="42" customHeight="1">
      <c r="B1" s="61" t="n"/>
      <c r="C1" s="58" t="inlineStr">
        <is>
          <t>Scenario</t>
        </is>
      </c>
      <c r="D1" s="58" t="inlineStr">
        <is>
          <t>Description</t>
        </is>
      </c>
      <c r="E1" s="114" t="inlineStr">
        <is>
          <t>Pb(A)</t>
        </is>
      </c>
      <c r="F1" s="114" t="inlineStr">
        <is>
          <t>Pb(ψ,A)</t>
        </is>
      </c>
      <c r="G1" s="114" t="inlineStr">
        <is>
          <t>CVSS</t>
        </is>
      </c>
      <c r="H1" s="114" t="inlineStr">
        <is>
          <t>CVSS v4.0 vector
Vecteur CVSS</t>
        </is>
      </c>
      <c r="I1" s="114" t="inlineStr">
        <is>
          <t>δe(ψ,A)</t>
        </is>
      </c>
      <c r="J1" s="114" t="inlineStr">
        <is>
          <t>δm(ψ,A)</t>
        </is>
      </c>
      <c r="K1" s="114" t="inlineStr">
        <is>
          <t>θ(ψ,A)</t>
        </is>
      </c>
      <c r="L1" s="114" t="inlineStr">
        <is>
          <t>μ(E)</t>
        </is>
      </c>
      <c r="M1" s="58" t="inlineStr">
        <is>
          <t>Estimated Re</t>
        </is>
      </c>
      <c r="N1" s="58" t="inlineStr">
        <is>
          <t>Tolerated Rt</t>
        </is>
      </c>
      <c r="O1" s="59" t="n"/>
      <c r="P1" s="58" t="inlineStr">
        <is>
          <t>Cost</t>
        </is>
      </c>
      <c r="Q1" s="125" t="inlineStr">
        <is>
          <t>Pb reduction rp
Réduction Pb</t>
        </is>
      </c>
      <c r="R1" s="125" t="inlineStr">
        <is>
          <t>Impact reduction ri
Réduction impact</t>
        </is>
      </c>
      <c r="S1" s="126" t="inlineStr">
        <is>
          <t>Mitigated
Re×rp×ri
Mitigé</t>
        </is>
      </c>
      <c r="T1" s="58" t="inlineStr">
        <is>
          <t>Residual</t>
        </is>
      </c>
      <c r="U1" s="58" t="inlineStr">
        <is>
          <t>Tolerated Rt</t>
        </is>
      </c>
      <c r="V1" s="59" t="n"/>
      <c r="W1" s="127" t="inlineStr">
        <is>
          <t>Recommendation (1/0)
Recommandation</t>
        </is>
      </c>
      <c r="X1" s="60" t="n"/>
      <c r="Y1" s="128" t="inlineStr">
        <is>
          <t>Pre-treatment ratio Re÷Rt</t>
        </is>
      </c>
      <c r="Z1" s="128" t="inlineStr">
        <is>
          <t>Risk-to-tolerance ratio Residual÷Rt</t>
        </is>
      </c>
      <c r="AA1" s="128" t="inlineStr">
        <is>
          <t>Tolerance verdict</t>
        </is>
      </c>
      <c r="AB1" s="128" t="inlineStr">
        <is>
          <t>Cost-effectiveness (per $1,000)</t>
        </is>
      </c>
      <c r="AC1" s="128" t="inlineStr">
        <is>
          <t>Checks</t>
        </is>
      </c>
      <c r="AD1" s="128" t="inlineStr">
        <is>
          <t>Transfer: share of loss covered (0-1, informational)</t>
        </is>
      </c>
      <c r="AE1" s="128" t="inlineStr">
        <is>
          <t>Transfer approver</t>
        </is>
      </c>
    </row>
    <row r="2" ht="28" customHeight="1">
      <c r="B2" s="61" t="n"/>
      <c r="C2" s="75" t="inlineStr">
        <is>
          <t>Scénario</t>
        </is>
      </c>
      <c r="D2" s="114" t="inlineStr">
        <is>
          <t>Description</t>
        </is>
      </c>
      <c r="E2" s="129" t="n"/>
      <c r="F2" s="129" t="n"/>
      <c r="G2" s="129" t="n"/>
      <c r="H2" s="129" t="n"/>
      <c r="I2" s="129" t="n"/>
      <c r="J2" s="129" t="n"/>
      <c r="K2" s="129" t="n"/>
      <c r="L2" s="129" t="n"/>
      <c r="M2" s="76" t="inlineStr">
        <is>
          <t>R estimé Re</t>
        </is>
      </c>
      <c r="N2" s="114" t="inlineStr">
        <is>
          <t>R toléré Rt</t>
        </is>
      </c>
      <c r="O2" s="7" t="n"/>
      <c r="P2" s="114" t="inlineStr">
        <is>
          <t>Coût</t>
        </is>
      </c>
      <c r="Q2" s="130" t="n"/>
      <c r="R2" s="130" t="n"/>
      <c r="S2" s="130" t="n"/>
      <c r="T2" s="76" t="inlineStr">
        <is>
          <t>R résiduel</t>
        </is>
      </c>
      <c r="U2" s="114" t="inlineStr">
        <is>
          <t>R toléré Rt</t>
        </is>
      </c>
      <c r="V2" s="8" t="n"/>
      <c r="W2" s="131" t="n"/>
      <c r="X2" s="53" t="n"/>
      <c r="Y2" s="132" t="inlineStr">
        <is>
          <t>Ratio avant traitement</t>
        </is>
      </c>
      <c r="Z2" s="132" t="inlineStr">
        <is>
          <t>Ratio risque/tolérance</t>
        </is>
      </c>
      <c r="AA2" s="132" t="inlineStr">
        <is>
          <t>Verdict de tolérance</t>
        </is>
      </c>
      <c r="AB2" s="132" t="inlineStr">
        <is>
          <t>Coût-efficacité (par 1 000 $)</t>
        </is>
      </c>
      <c r="AC2" s="132" t="inlineStr">
        <is>
          <t>Contrôles de validité</t>
        </is>
      </c>
      <c r="AD2" s="132" t="inlineStr">
        <is>
          <t>Transfert : part de la perte couverte (0-1, information)</t>
        </is>
      </c>
      <c r="AE2" s="132" t="inlineStr">
        <is>
          <t>Approbateur du transfert</t>
        </is>
      </c>
    </row>
    <row r="3" ht="15" customHeight="1">
      <c r="B3" s="62" t="n"/>
      <c r="C3" s="4">
        <f>'S1'!$B$2</f>
        <v/>
      </c>
      <c r="D3" s="30">
        <f>'S1'!$B$3</f>
        <v/>
      </c>
      <c r="E3" s="88">
        <f>'S1'!$B$6</f>
        <v/>
      </c>
      <c r="F3" s="88">
        <f>'S1'!$B$7</f>
        <v/>
      </c>
      <c r="G3" s="80" t="n"/>
      <c r="H3" s="190" t="n"/>
      <c r="I3" s="88">
        <f>'S1'!$B$8</f>
        <v/>
      </c>
      <c r="J3" s="88">
        <f>'S1'!$B$9</f>
        <v/>
      </c>
      <c r="K3" s="88">
        <f>'S1'!$B$10</f>
        <v/>
      </c>
      <c r="L3" s="88">
        <f>'S1'!$B$11</f>
        <v/>
      </c>
      <c r="M3" s="133">
        <f>IF(NOT(ISNUMBER(G3)),"CVSS required",IF(N(K3)&lt;=0,"θ required",E3*F3*G3*((I3+J3)/2)*L3/K3*$E$15))</f>
        <v/>
      </c>
      <c r="N3" s="134">
        <f>IF(NOT(ISNUMBER(G3)),"CVSS required",IF(N(K3)&lt;=0,"θ required",IF(NOT(AND(ISNUMBER($E$14),$E$14&gt;0,$E$14&lt;1)),"Appetite required",E3*F3*G3*$E$14*L3/K3*$E$15)))</f>
        <v/>
      </c>
      <c r="O3" s="3" t="n"/>
      <c r="P3" s="135">
        <f>'M1'!N265</f>
        <v/>
      </c>
      <c r="Q3" s="136">
        <f>'M1'!Q266</f>
        <v/>
      </c>
      <c r="R3" s="136">
        <f>'M1'!P266</f>
        <v/>
      </c>
      <c r="S3" s="137">
        <f>IF(ISNUMBER(M3),M3*Q3*R3,"")</f>
        <v/>
      </c>
      <c r="T3" s="138">
        <f>IF(ISNUMBER(M3),MAX(0,M3-S3),"")</f>
        <v/>
      </c>
      <c r="U3" s="139">
        <f>N3</f>
        <v/>
      </c>
      <c r="V3" s="3" t="n"/>
      <c r="W3" s="4" t="n">
        <v>0</v>
      </c>
      <c r="X3" s="54" t="n"/>
      <c r="Y3" s="140">
        <f>IF(AND(ISNUMBER(M3),ISNUMBER(N3)),IF(N3&gt;0,M3/N3,""),"")</f>
        <v/>
      </c>
      <c r="Z3" s="140">
        <f>IF(AND(ISNUMBER(T3),ISNUMBER(U3)),IF(U3&gt;0,T3/U3,""),"")</f>
        <v/>
      </c>
      <c r="AA3" s="141">
        <f>IF(Z3="","",IF(OR(COUNTIF('M1'!$K$2:$L$263,"&gt;1")&gt;0,COUNTIF('M1'!$K$2:$L$263,"&lt;0")&gt;0),"Review M1: coefficient outside 0-1 / Revoir M1",IF(Z3&lt;0.9,"Below tolerance / Sous la tolérance",IF(Z3&lt;=1.1,"Approximately at tolerance / Environ à la tolérance","Above tolerance / Au-dessus de la tolérance"))))</f>
        <v/>
      </c>
      <c r="AB3" s="139">
        <f>IF(AND(ISNUMBER(T3),N(P3)&gt;0),(M3-T3)/P3*1000,"")</f>
        <v/>
      </c>
      <c r="AC3" s="142">
        <f>IF(NOT(ISNUMBER(G3)),"CVSS required: score with the NVD or FIRST CVSS v4.0 calculator / CVSS requis",IF(H3="","CVSS vector missing: keep the vector next to the score / Vecteur CVSS manquant",IF(NOT(AND(LEFT(H3,9)="CVSS:4.0/",ISNUMBER(SEARCH("/AV:",H3)),ISNUMBER(SEARCH("/AC:",H3)),ISNUMBER(SEARCH("/AT:",H3)),ISNUMBER(SEARCH("/PR:",H3)),ISNUMBER(SEARCH("/UI:",H3)),ISNUMBER(SEARCH("/VC:",H3)),ISNUMBER(SEARCH("/VI:",H3)),ISNUMBER(SEARCH("/VA:",H3)),ISNUMBER(SEARCH("/SC:",H3)),ISNUMBER(SEARCH("/SI:",H3)),ISNUMBER(SEARCH("/SA:",H3)))),"CVSS vector invalid: CVSS:4.0/ with all 11 base metrics / Vecteur CVSS invalide",IF(NOT(AND(ISNUMBER($E$14),$E$14&gt;0,$E$14&lt;1)),"Appetite (E14) must be &gt; 0 and &lt; 1 / Appétence requise",IF(NOT(ISNUMBER(M3)),"θ required (&gt; 0) on sheet S1 / θ requis",IF(OR(COUNTIF('M1'!$K$2:$L$263,"&gt;1")&gt;0,COUNTIF('M1'!$K$2:$L$263,"&lt;0")&gt;0),"A coefficient on M1 is outside 0-1: correct it / Un coefficient de M1 est hors de 0-1",IF(OR(S3&gt;M3,S3&lt;0),"Mitigated &gt; Estimated: reduction estimates are wrong / Mitigé &gt; Estimé : estimations erronées",IF(AND(ISNUMBER(AD3),OR(AD3&lt;0,AD3&gt;1)),"Transfer share must be 0-1 / Part transférée : 0 à 1","OK - verify the score against the vector with the calculator / vérifier le score avec le calculateur"))))))))</f>
        <v/>
      </c>
      <c r="AD3" s="191" t="n"/>
      <c r="AE3" s="192" t="n"/>
    </row>
    <row r="4" ht="15" customHeight="1">
      <c r="B4" s="62" t="n"/>
      <c r="C4" s="69">
        <f>'S2'!$B$2</f>
        <v/>
      </c>
      <c r="D4" s="51">
        <f>'S2'!$B$3</f>
        <v/>
      </c>
      <c r="E4" s="89">
        <f>'S2'!$B$6</f>
        <v/>
      </c>
      <c r="F4" s="89">
        <f>'S2'!$B$7</f>
        <v/>
      </c>
      <c r="G4" s="80" t="n"/>
      <c r="H4" s="190" t="n"/>
      <c r="I4" s="89">
        <f>'S2'!$B$8</f>
        <v/>
      </c>
      <c r="J4" s="89">
        <f>'S2'!$B$9</f>
        <v/>
      </c>
      <c r="K4" s="89">
        <f>'S2'!$B$10</f>
        <v/>
      </c>
      <c r="L4" s="89">
        <f>'S2'!$B$11</f>
        <v/>
      </c>
      <c r="M4" s="133">
        <f>IF(NOT(ISNUMBER(G4)),"CVSS required",IF(N(K4)&lt;=0,"θ required",E4*F4*G4*((I4+J4)/2)*L4/K4*$E$15))</f>
        <v/>
      </c>
      <c r="N4" s="134">
        <f>IF(NOT(ISNUMBER(G4)),"CVSS required",IF(N(K4)&lt;=0,"θ required",IF(NOT(AND(ISNUMBER($E$14),$E$14&gt;0,$E$14&lt;1)),"Appetite required",E4*F4*G4*$E$14*L4/K4*$E$15)))</f>
        <v/>
      </c>
      <c r="O4" s="3" t="n"/>
      <c r="P4" s="143">
        <f>'M2'!N265</f>
        <v/>
      </c>
      <c r="Q4" s="144">
        <f>'M2'!Q266</f>
        <v/>
      </c>
      <c r="R4" s="144">
        <f>'M2'!P266</f>
        <v/>
      </c>
      <c r="S4" s="145">
        <f>IF(ISNUMBER(M4),M4*Q4*R4,"")</f>
        <v/>
      </c>
      <c r="T4" s="138">
        <f>IF(ISNUMBER(M4),MAX(0,M4-S4),"")</f>
        <v/>
      </c>
      <c r="U4" s="146">
        <f>N4</f>
        <v/>
      </c>
      <c r="V4" s="3" t="n"/>
      <c r="W4" s="52" t="n">
        <v>0</v>
      </c>
      <c r="X4" s="54" t="n"/>
      <c r="Y4" s="147">
        <f>IF(AND(ISNUMBER(M4),ISNUMBER(N4)),IF(N4&gt;0,M4/N4,""),"")</f>
        <v/>
      </c>
      <c r="Z4" s="147">
        <f>IF(AND(ISNUMBER(T4),ISNUMBER(U4)),IF(U4&gt;0,T4/U4,""),"")</f>
        <v/>
      </c>
      <c r="AA4" s="148">
        <f>IF(Z4="","",IF(OR(COUNTIF('M2'!$K$2:$L$263,"&gt;1")&gt;0,COUNTIF('M2'!$K$2:$L$263,"&lt;0")&gt;0),"Review M2: coefficient outside 0-1 / Revoir M2",IF(Z4&lt;0.9,"Below tolerance / Sous la tolérance",IF(Z4&lt;=1.1,"Approximately at tolerance / Environ à la tolérance","Above tolerance / Au-dessus de la tolérance"))))</f>
        <v/>
      </c>
      <c r="AB4" s="146">
        <f>IF(AND(ISNUMBER(T4),N(P4)&gt;0),(M4-T4)/P4*1000,"")</f>
        <v/>
      </c>
      <c r="AC4" s="149">
        <f>IF(NOT(ISNUMBER(G4)),"CVSS required: score with the NVD or FIRST CVSS v4.0 calculator / CVSS requis",IF(H4="","CVSS vector missing: keep the vector next to the score / Vecteur CVSS manquant",IF(NOT(AND(LEFT(H4,9)="CVSS:4.0/",ISNUMBER(SEARCH("/AV:",H4)),ISNUMBER(SEARCH("/AC:",H4)),ISNUMBER(SEARCH("/AT:",H4)),ISNUMBER(SEARCH("/PR:",H4)),ISNUMBER(SEARCH("/UI:",H4)),ISNUMBER(SEARCH("/VC:",H4)),ISNUMBER(SEARCH("/VI:",H4)),ISNUMBER(SEARCH("/VA:",H4)),ISNUMBER(SEARCH("/SC:",H4)),ISNUMBER(SEARCH("/SI:",H4)),ISNUMBER(SEARCH("/SA:",H4)))),"CVSS vector invalid: CVSS:4.0/ with all 11 base metrics / Vecteur CVSS invalide",IF(NOT(AND(ISNUMBER($E$14),$E$14&gt;0,$E$14&lt;1)),"Appetite (E14) must be &gt; 0 and &lt; 1 / Appétence requise",IF(NOT(ISNUMBER(M4)),"θ required (&gt; 0) on sheet S2 / θ requis",IF(OR(COUNTIF('M2'!$K$2:$L$263,"&gt;1")&gt;0,COUNTIF('M2'!$K$2:$L$263,"&lt;0")&gt;0),"A coefficient on M2 is outside 0-1: correct it / Un coefficient de M2 est hors de 0-1",IF(OR(S4&gt;M4,S4&lt;0),"Mitigated &gt; Estimated: reduction estimates are wrong / Mitigé &gt; Estimé : estimations erronées",IF(AND(ISNUMBER(AD4),OR(AD4&lt;0,AD4&gt;1)),"Transfer share must be 0-1 / Part transférée : 0 à 1","OK - verify the score against the vector with the calculator / vérifier le score avec le calculateur"))))))))</f>
        <v/>
      </c>
      <c r="AD4" s="193" t="n"/>
      <c r="AE4" s="194" t="n"/>
    </row>
    <row r="5" ht="15" customHeight="1">
      <c r="B5" s="62" t="n"/>
      <c r="C5" s="4">
        <f>'S3'!$B$2</f>
        <v/>
      </c>
      <c r="D5" s="30">
        <f>'S3'!$B$3</f>
        <v/>
      </c>
      <c r="E5" s="88">
        <f>'S3'!$B$6</f>
        <v/>
      </c>
      <c r="F5" s="88">
        <f>'S3'!$B$7</f>
        <v/>
      </c>
      <c r="G5" s="80" t="n"/>
      <c r="H5" s="190" t="n"/>
      <c r="I5" s="88">
        <f>'S3'!$B$8</f>
        <v/>
      </c>
      <c r="J5" s="88">
        <f>'S3'!$B$9</f>
        <v/>
      </c>
      <c r="K5" s="88">
        <f>'S3'!$B$10</f>
        <v/>
      </c>
      <c r="L5" s="88">
        <f>'S3'!$B$11</f>
        <v/>
      </c>
      <c r="M5" s="133">
        <f>IF(NOT(ISNUMBER(G5)),"CVSS required",IF(N(K5)&lt;=0,"θ required",E5*F5*G5*((I5+J5)/2)*L5/K5*$E$15))</f>
        <v/>
      </c>
      <c r="N5" s="134">
        <f>IF(NOT(ISNUMBER(G5)),"CVSS required",IF(N(K5)&lt;=0,"θ required",IF(NOT(AND(ISNUMBER($E$14),$E$14&gt;0,$E$14&lt;1)),"Appetite required",E5*F5*G5*$E$14*L5/K5*$E$15)))</f>
        <v/>
      </c>
      <c r="O5" s="3" t="n"/>
      <c r="P5" s="135">
        <f>'M3'!N265</f>
        <v/>
      </c>
      <c r="Q5" s="136">
        <f>'M3'!Q266</f>
        <v/>
      </c>
      <c r="R5" s="136">
        <f>'M3'!P266</f>
        <v/>
      </c>
      <c r="S5" s="137">
        <f>IF(ISNUMBER(M5),M5*Q5*R5,"")</f>
        <v/>
      </c>
      <c r="T5" s="138">
        <f>IF(ISNUMBER(M5),MAX(0,M5-S5),"")</f>
        <v/>
      </c>
      <c r="U5" s="139">
        <f>N5</f>
        <v/>
      </c>
      <c r="V5" s="3" t="n"/>
      <c r="W5" s="4" t="n">
        <v>0</v>
      </c>
      <c r="X5" s="54" t="n"/>
      <c r="Y5" s="140">
        <f>IF(AND(ISNUMBER(M5),ISNUMBER(N5)),IF(N5&gt;0,M5/N5,""),"")</f>
        <v/>
      </c>
      <c r="Z5" s="140">
        <f>IF(AND(ISNUMBER(T5),ISNUMBER(U5)),IF(U5&gt;0,T5/U5,""),"")</f>
        <v/>
      </c>
      <c r="AA5" s="141">
        <f>IF(Z5="","",IF(OR(COUNTIF('M3'!$K$2:$L$263,"&gt;1")&gt;0,COUNTIF('M3'!$K$2:$L$263,"&lt;0")&gt;0),"Review M3: coefficient outside 0-1 / Revoir M3",IF(Z5&lt;0.9,"Below tolerance / Sous la tolérance",IF(Z5&lt;=1.1,"Approximately at tolerance / Environ à la tolérance","Above tolerance / Au-dessus de la tolérance"))))</f>
        <v/>
      </c>
      <c r="AB5" s="139">
        <f>IF(AND(ISNUMBER(T5),N(P5)&gt;0),(M5-T5)/P5*1000,"")</f>
        <v/>
      </c>
      <c r="AC5" s="142">
        <f>IF(NOT(ISNUMBER(G5)),"CVSS required: score with the NVD or FIRST CVSS v4.0 calculator / CVSS requis",IF(H5="","CVSS vector missing: keep the vector next to the score / Vecteur CVSS manquant",IF(NOT(AND(LEFT(H5,9)="CVSS:4.0/",ISNUMBER(SEARCH("/AV:",H5)),ISNUMBER(SEARCH("/AC:",H5)),ISNUMBER(SEARCH("/AT:",H5)),ISNUMBER(SEARCH("/PR:",H5)),ISNUMBER(SEARCH("/UI:",H5)),ISNUMBER(SEARCH("/VC:",H5)),ISNUMBER(SEARCH("/VI:",H5)),ISNUMBER(SEARCH("/VA:",H5)),ISNUMBER(SEARCH("/SC:",H5)),ISNUMBER(SEARCH("/SI:",H5)),ISNUMBER(SEARCH("/SA:",H5)))),"CVSS vector invalid: CVSS:4.0/ with all 11 base metrics / Vecteur CVSS invalide",IF(NOT(AND(ISNUMBER($E$14),$E$14&gt;0,$E$14&lt;1)),"Appetite (E14) must be &gt; 0 and &lt; 1 / Appétence requise",IF(NOT(ISNUMBER(M5)),"θ required (&gt; 0) on sheet S3 / θ requis",IF(OR(COUNTIF('M3'!$K$2:$L$263,"&gt;1")&gt;0,COUNTIF('M3'!$K$2:$L$263,"&lt;0")&gt;0),"A coefficient on M3 is outside 0-1: correct it / Un coefficient de M3 est hors de 0-1",IF(OR(S5&gt;M5,S5&lt;0),"Mitigated &gt; Estimated: reduction estimates are wrong / Mitigé &gt; Estimé : estimations erronées",IF(AND(ISNUMBER(AD5),OR(AD5&lt;0,AD5&gt;1)),"Transfer share must be 0-1 / Part transférée : 0 à 1","OK - verify the score against the vector with the calculator / vérifier le score avec le calculateur"))))))))</f>
        <v/>
      </c>
      <c r="AD5" s="191" t="n"/>
      <c r="AE5" s="192" t="n"/>
    </row>
    <row r="6" ht="15" customHeight="1">
      <c r="B6" s="62" t="n"/>
      <c r="C6" s="69">
        <f>'S4'!$B$2</f>
        <v/>
      </c>
      <c r="D6" s="51">
        <f>'S4'!$B$3</f>
        <v/>
      </c>
      <c r="E6" s="89">
        <f>'S4'!$B$6</f>
        <v/>
      </c>
      <c r="F6" s="89">
        <f>'S4'!$B$7</f>
        <v/>
      </c>
      <c r="G6" s="80" t="n"/>
      <c r="H6" s="190" t="n"/>
      <c r="I6" s="89">
        <f>'S4'!$B$8</f>
        <v/>
      </c>
      <c r="J6" s="89">
        <f>'S4'!$B$9</f>
        <v/>
      </c>
      <c r="K6" s="89">
        <f>'S4'!$B$10</f>
        <v/>
      </c>
      <c r="L6" s="89">
        <f>'S4'!$B$11</f>
        <v/>
      </c>
      <c r="M6" s="133">
        <f>IF(NOT(ISNUMBER(G6)),"CVSS required",IF(N(K6)&lt;=0,"θ required",E6*F6*G6*((I6+J6)/2)*L6/K6*$E$15))</f>
        <v/>
      </c>
      <c r="N6" s="134">
        <f>IF(NOT(ISNUMBER(G6)),"CVSS required",IF(N(K6)&lt;=0,"θ required",IF(NOT(AND(ISNUMBER($E$14),$E$14&gt;0,$E$14&lt;1)),"Appetite required",E6*F6*G6*$E$14*L6/K6*$E$15)))</f>
        <v/>
      </c>
      <c r="O6" s="3" t="n"/>
      <c r="P6" s="143">
        <f>'M4'!N265</f>
        <v/>
      </c>
      <c r="Q6" s="144">
        <f>'M4'!Q266</f>
        <v/>
      </c>
      <c r="R6" s="144">
        <f>'M4'!P266</f>
        <v/>
      </c>
      <c r="S6" s="145">
        <f>IF(ISNUMBER(M6),M6*Q6*R6,"")</f>
        <v/>
      </c>
      <c r="T6" s="138">
        <f>IF(ISNUMBER(M6),MAX(0,M6-S6),"")</f>
        <v/>
      </c>
      <c r="U6" s="146">
        <f>N6</f>
        <v/>
      </c>
      <c r="V6" s="3" t="n"/>
      <c r="W6" s="52" t="n">
        <v>0</v>
      </c>
      <c r="X6" s="54" t="n"/>
      <c r="Y6" s="147">
        <f>IF(AND(ISNUMBER(M6),ISNUMBER(N6)),IF(N6&gt;0,M6/N6,""),"")</f>
        <v/>
      </c>
      <c r="Z6" s="147">
        <f>IF(AND(ISNUMBER(T6),ISNUMBER(U6)),IF(U6&gt;0,T6/U6,""),"")</f>
        <v/>
      </c>
      <c r="AA6" s="148">
        <f>IF(Z6="","",IF(OR(COUNTIF('M4'!$K$2:$L$263,"&gt;1")&gt;0,COUNTIF('M4'!$K$2:$L$263,"&lt;0")&gt;0),"Review M4: coefficient outside 0-1 / Revoir M4",IF(Z6&lt;0.9,"Below tolerance / Sous la tolérance",IF(Z6&lt;=1.1,"Approximately at tolerance / Environ à la tolérance","Above tolerance / Au-dessus de la tolérance"))))</f>
        <v/>
      </c>
      <c r="AB6" s="146">
        <f>IF(AND(ISNUMBER(T6),N(P6)&gt;0),(M6-T6)/P6*1000,"")</f>
        <v/>
      </c>
      <c r="AC6" s="149">
        <f>IF(NOT(ISNUMBER(G6)),"CVSS required: score with the NVD or FIRST CVSS v4.0 calculator / CVSS requis",IF(H6="","CVSS vector missing: keep the vector next to the score / Vecteur CVSS manquant",IF(NOT(AND(LEFT(H6,9)="CVSS:4.0/",ISNUMBER(SEARCH("/AV:",H6)),ISNUMBER(SEARCH("/AC:",H6)),ISNUMBER(SEARCH("/AT:",H6)),ISNUMBER(SEARCH("/PR:",H6)),ISNUMBER(SEARCH("/UI:",H6)),ISNUMBER(SEARCH("/VC:",H6)),ISNUMBER(SEARCH("/VI:",H6)),ISNUMBER(SEARCH("/VA:",H6)),ISNUMBER(SEARCH("/SC:",H6)),ISNUMBER(SEARCH("/SI:",H6)),ISNUMBER(SEARCH("/SA:",H6)))),"CVSS vector invalid: CVSS:4.0/ with all 11 base metrics / Vecteur CVSS invalide",IF(NOT(AND(ISNUMBER($E$14),$E$14&gt;0,$E$14&lt;1)),"Appetite (E14) must be &gt; 0 and &lt; 1 / Appétence requise",IF(NOT(ISNUMBER(M6)),"θ required (&gt; 0) on sheet S4 / θ requis",IF(OR(COUNTIF('M4'!$K$2:$L$263,"&gt;1")&gt;0,COUNTIF('M4'!$K$2:$L$263,"&lt;0")&gt;0),"A coefficient on M4 is outside 0-1: correct it / Un coefficient de M4 est hors de 0-1",IF(OR(S6&gt;M6,S6&lt;0),"Mitigated &gt; Estimated: reduction estimates are wrong / Mitigé &gt; Estimé : estimations erronées",IF(AND(ISNUMBER(AD6),OR(AD6&lt;0,AD6&gt;1)),"Transfer share must be 0-1 / Part transférée : 0 à 1","OK - verify the score against the vector with the calculator / vérifier le score avec le calculateur"))))))))</f>
        <v/>
      </c>
      <c r="AD6" s="193" t="n"/>
      <c r="AE6" s="194" t="n"/>
    </row>
    <row r="7" ht="15" customHeight="1">
      <c r="B7" s="62" t="n"/>
      <c r="C7" s="4">
        <f>'S5'!$B$2</f>
        <v/>
      </c>
      <c r="D7" s="30">
        <f>'S5'!$B$3</f>
        <v/>
      </c>
      <c r="E7" s="88">
        <f>'S5'!$B$6</f>
        <v/>
      </c>
      <c r="F7" s="88">
        <f>'S5'!$B$7</f>
        <v/>
      </c>
      <c r="G7" s="80" t="n"/>
      <c r="H7" s="190" t="n"/>
      <c r="I7" s="88">
        <f>'S5'!$B$8</f>
        <v/>
      </c>
      <c r="J7" s="88">
        <f>'S5'!$B$9</f>
        <v/>
      </c>
      <c r="K7" s="88">
        <f>'S5'!$B$10</f>
        <v/>
      </c>
      <c r="L7" s="88">
        <f>'S5'!$B$11</f>
        <v/>
      </c>
      <c r="M7" s="133">
        <f>IF(NOT(ISNUMBER(G7)),"CVSS required",IF(N(K7)&lt;=0,"θ required",E7*F7*G7*((I7+J7)/2)*L7/K7*$E$15))</f>
        <v/>
      </c>
      <c r="N7" s="134">
        <f>IF(NOT(ISNUMBER(G7)),"CVSS required",IF(N(K7)&lt;=0,"θ required",IF(NOT(AND(ISNUMBER($E$14),$E$14&gt;0,$E$14&lt;1)),"Appetite required",E7*F7*G7*$E$14*L7/K7*$E$15)))</f>
        <v/>
      </c>
      <c r="O7" s="3" t="n"/>
      <c r="P7" s="135">
        <f>'M5'!N265</f>
        <v/>
      </c>
      <c r="Q7" s="136">
        <f>'M5'!Q266</f>
        <v/>
      </c>
      <c r="R7" s="136">
        <f>'M5'!P266</f>
        <v/>
      </c>
      <c r="S7" s="137">
        <f>IF(ISNUMBER(M7),M7*Q7*R7,"")</f>
        <v/>
      </c>
      <c r="T7" s="138">
        <f>IF(ISNUMBER(M7),MAX(0,M7-S7),"")</f>
        <v/>
      </c>
      <c r="U7" s="139">
        <f>N7</f>
        <v/>
      </c>
      <c r="V7" s="3" t="n"/>
      <c r="W7" s="4" t="n">
        <v>0</v>
      </c>
      <c r="X7" s="54" t="n"/>
      <c r="Y7" s="140">
        <f>IF(AND(ISNUMBER(M7),ISNUMBER(N7)),IF(N7&gt;0,M7/N7,""),"")</f>
        <v/>
      </c>
      <c r="Z7" s="140">
        <f>IF(AND(ISNUMBER(T7),ISNUMBER(U7)),IF(U7&gt;0,T7/U7,""),"")</f>
        <v/>
      </c>
      <c r="AA7" s="141">
        <f>IF(Z7="","",IF(OR(COUNTIF('M5'!$K$2:$L$263,"&gt;1")&gt;0,COUNTIF('M5'!$K$2:$L$263,"&lt;0")&gt;0),"Review M5: coefficient outside 0-1 / Revoir M5",IF(Z7&lt;0.9,"Below tolerance / Sous la tolérance",IF(Z7&lt;=1.1,"Approximately at tolerance / Environ à la tolérance","Above tolerance / Au-dessus de la tolérance"))))</f>
        <v/>
      </c>
      <c r="AB7" s="139">
        <f>IF(AND(ISNUMBER(T7),N(P7)&gt;0),(M7-T7)/P7*1000,"")</f>
        <v/>
      </c>
      <c r="AC7" s="142">
        <f>IF(NOT(ISNUMBER(G7)),"CVSS required: score with the NVD or FIRST CVSS v4.0 calculator / CVSS requis",IF(H7="","CVSS vector missing: keep the vector next to the score / Vecteur CVSS manquant",IF(NOT(AND(LEFT(H7,9)="CVSS:4.0/",ISNUMBER(SEARCH("/AV:",H7)),ISNUMBER(SEARCH("/AC:",H7)),ISNUMBER(SEARCH("/AT:",H7)),ISNUMBER(SEARCH("/PR:",H7)),ISNUMBER(SEARCH("/UI:",H7)),ISNUMBER(SEARCH("/VC:",H7)),ISNUMBER(SEARCH("/VI:",H7)),ISNUMBER(SEARCH("/VA:",H7)),ISNUMBER(SEARCH("/SC:",H7)),ISNUMBER(SEARCH("/SI:",H7)),ISNUMBER(SEARCH("/SA:",H7)))),"CVSS vector invalid: CVSS:4.0/ with all 11 base metrics / Vecteur CVSS invalide",IF(NOT(AND(ISNUMBER($E$14),$E$14&gt;0,$E$14&lt;1)),"Appetite (E14) must be &gt; 0 and &lt; 1 / Appétence requise",IF(NOT(ISNUMBER(M7)),"θ required (&gt; 0) on sheet S5 / θ requis",IF(OR(COUNTIF('M5'!$K$2:$L$263,"&gt;1")&gt;0,COUNTIF('M5'!$K$2:$L$263,"&lt;0")&gt;0),"A coefficient on M5 is outside 0-1: correct it / Un coefficient de M5 est hors de 0-1",IF(OR(S7&gt;M7,S7&lt;0),"Mitigated &gt; Estimated: reduction estimates are wrong / Mitigé &gt; Estimé : estimations erronées",IF(AND(ISNUMBER(AD7),OR(AD7&lt;0,AD7&gt;1)),"Transfer share must be 0-1 / Part transférée : 0 à 1","OK - verify the score against the vector with the calculator / vérifier le score avec le calculateur"))))))))</f>
        <v/>
      </c>
      <c r="AD7" s="191" t="n"/>
      <c r="AE7" s="192" t="n"/>
    </row>
    <row r="8" ht="15" customHeight="1">
      <c r="B8" s="62" t="n"/>
      <c r="C8" s="69">
        <f>'S6'!$B$2</f>
        <v/>
      </c>
      <c r="D8" s="51">
        <f>'S6'!$B$3</f>
        <v/>
      </c>
      <c r="E8" s="89">
        <f>'S6'!$B$6</f>
        <v/>
      </c>
      <c r="F8" s="89">
        <f>'S6'!$B$7</f>
        <v/>
      </c>
      <c r="G8" s="80" t="n"/>
      <c r="H8" s="190" t="n"/>
      <c r="I8" s="89">
        <f>'S6'!$B$8</f>
        <v/>
      </c>
      <c r="J8" s="89">
        <f>'S6'!$B$9</f>
        <v/>
      </c>
      <c r="K8" s="89">
        <f>'S6'!$B$10</f>
        <v/>
      </c>
      <c r="L8" s="89">
        <f>'S6'!$B$11</f>
        <v/>
      </c>
      <c r="M8" s="133">
        <f>IF(NOT(ISNUMBER(G8)),"CVSS required",IF(N(K8)&lt;=0,"θ required",E8*F8*G8*((I8+J8)/2)*L8/K8*$E$15))</f>
        <v/>
      </c>
      <c r="N8" s="134">
        <f>IF(NOT(ISNUMBER(G8)),"CVSS required",IF(N(K8)&lt;=0,"θ required",IF(NOT(AND(ISNUMBER($E$14),$E$14&gt;0,$E$14&lt;1)),"Appetite required",E8*F8*G8*$E$14*L8/K8*$E$15)))</f>
        <v/>
      </c>
      <c r="O8" s="3" t="n"/>
      <c r="P8" s="143">
        <f>'M6'!N265</f>
        <v/>
      </c>
      <c r="Q8" s="144">
        <f>'M6'!Q266</f>
        <v/>
      </c>
      <c r="R8" s="144">
        <f>'M6'!P266</f>
        <v/>
      </c>
      <c r="S8" s="145">
        <f>IF(ISNUMBER(M8),M8*Q8*R8,"")</f>
        <v/>
      </c>
      <c r="T8" s="138">
        <f>IF(ISNUMBER(M8),MAX(0,M8-S8),"")</f>
        <v/>
      </c>
      <c r="U8" s="146">
        <f>N8</f>
        <v/>
      </c>
      <c r="V8" s="3" t="n"/>
      <c r="W8" s="52" t="n">
        <v>0</v>
      </c>
      <c r="X8" s="54" t="n"/>
      <c r="Y8" s="147">
        <f>IF(AND(ISNUMBER(M8),ISNUMBER(N8)),IF(N8&gt;0,M8/N8,""),"")</f>
        <v/>
      </c>
      <c r="Z8" s="147">
        <f>IF(AND(ISNUMBER(T8),ISNUMBER(U8)),IF(U8&gt;0,T8/U8,""),"")</f>
        <v/>
      </c>
      <c r="AA8" s="148">
        <f>IF(Z8="","",IF(OR(COUNTIF('M6'!$K$2:$L$263,"&gt;1")&gt;0,COUNTIF('M6'!$K$2:$L$263,"&lt;0")&gt;0),"Review M6: coefficient outside 0-1 / Revoir M6",IF(Z8&lt;0.9,"Below tolerance / Sous la tolérance",IF(Z8&lt;=1.1,"Approximately at tolerance / Environ à la tolérance","Above tolerance / Au-dessus de la tolérance"))))</f>
        <v/>
      </c>
      <c r="AB8" s="146">
        <f>IF(AND(ISNUMBER(T8),N(P8)&gt;0),(M8-T8)/P8*1000,"")</f>
        <v/>
      </c>
      <c r="AC8" s="149">
        <f>IF(NOT(ISNUMBER(G8)),"CVSS required: score with the NVD or FIRST CVSS v4.0 calculator / CVSS requis",IF(H8="","CVSS vector missing: keep the vector next to the score / Vecteur CVSS manquant",IF(NOT(AND(LEFT(H8,9)="CVSS:4.0/",ISNUMBER(SEARCH("/AV:",H8)),ISNUMBER(SEARCH("/AC:",H8)),ISNUMBER(SEARCH("/AT:",H8)),ISNUMBER(SEARCH("/PR:",H8)),ISNUMBER(SEARCH("/UI:",H8)),ISNUMBER(SEARCH("/VC:",H8)),ISNUMBER(SEARCH("/VI:",H8)),ISNUMBER(SEARCH("/VA:",H8)),ISNUMBER(SEARCH("/SC:",H8)),ISNUMBER(SEARCH("/SI:",H8)),ISNUMBER(SEARCH("/SA:",H8)))),"CVSS vector invalid: CVSS:4.0/ with all 11 base metrics / Vecteur CVSS invalide",IF(NOT(AND(ISNUMBER($E$14),$E$14&gt;0,$E$14&lt;1)),"Appetite (E14) must be &gt; 0 and &lt; 1 / Appétence requise",IF(NOT(ISNUMBER(M8)),"θ required (&gt; 0) on sheet S6 / θ requis",IF(OR(COUNTIF('M6'!$K$2:$L$263,"&gt;1")&gt;0,COUNTIF('M6'!$K$2:$L$263,"&lt;0")&gt;0),"A coefficient on M6 is outside 0-1: correct it / Un coefficient de M6 est hors de 0-1",IF(OR(S8&gt;M8,S8&lt;0),"Mitigated &gt; Estimated: reduction estimates are wrong / Mitigé &gt; Estimé : estimations erronées",IF(AND(ISNUMBER(AD8),OR(AD8&lt;0,AD8&gt;1)),"Transfer share must be 0-1 / Part transférée : 0 à 1","OK - verify the score against the vector with the calculator / vérifier le score avec le calculateur"))))))))</f>
        <v/>
      </c>
      <c r="AD8" s="193" t="n"/>
      <c r="AE8" s="194" t="n"/>
    </row>
    <row r="9" ht="15" customHeight="1">
      <c r="B9" s="62" t="n"/>
      <c r="C9" s="4">
        <f>'S7'!$B$2</f>
        <v/>
      </c>
      <c r="D9" s="30">
        <f>'S7'!$B$3</f>
        <v/>
      </c>
      <c r="E9" s="88">
        <f>'S7'!$B$6</f>
        <v/>
      </c>
      <c r="F9" s="88">
        <f>'S7'!$B$7</f>
        <v/>
      </c>
      <c r="G9" s="80" t="n"/>
      <c r="H9" s="190" t="n"/>
      <c r="I9" s="88">
        <f>'S7'!$B$8</f>
        <v/>
      </c>
      <c r="J9" s="88">
        <f>'S7'!$B$9</f>
        <v/>
      </c>
      <c r="K9" s="88">
        <f>'S7'!$B$10</f>
        <v/>
      </c>
      <c r="L9" s="88">
        <f>'S7'!$B$11</f>
        <v/>
      </c>
      <c r="M9" s="133">
        <f>IF(NOT(ISNUMBER(G9)),"CVSS required",IF(N(K9)&lt;=0,"θ required",E9*F9*G9*((I9+J9)/2)*L9/K9*$E$15))</f>
        <v/>
      </c>
      <c r="N9" s="134">
        <f>IF(NOT(ISNUMBER(G9)),"CVSS required",IF(N(K9)&lt;=0,"θ required",IF(NOT(AND(ISNUMBER($E$14),$E$14&gt;0,$E$14&lt;1)),"Appetite required",E9*F9*G9*$E$14*L9/K9*$E$15)))</f>
        <v/>
      </c>
      <c r="O9" s="3" t="n"/>
      <c r="P9" s="135">
        <f>'M7'!N265</f>
        <v/>
      </c>
      <c r="Q9" s="136">
        <f>'M7'!Q266</f>
        <v/>
      </c>
      <c r="R9" s="136">
        <f>'M7'!P266</f>
        <v/>
      </c>
      <c r="S9" s="137">
        <f>IF(ISNUMBER(M9),M9*Q9*R9,"")</f>
        <v/>
      </c>
      <c r="T9" s="138">
        <f>IF(ISNUMBER(M9),MAX(0,M9-S9),"")</f>
        <v/>
      </c>
      <c r="U9" s="139">
        <f>N9</f>
        <v/>
      </c>
      <c r="V9" s="3" t="n"/>
      <c r="W9" s="4" t="n">
        <v>0</v>
      </c>
      <c r="X9" s="54" t="n"/>
      <c r="Y9" s="140">
        <f>IF(AND(ISNUMBER(M9),ISNUMBER(N9)),IF(N9&gt;0,M9/N9,""),"")</f>
        <v/>
      </c>
      <c r="Z9" s="140">
        <f>IF(AND(ISNUMBER(T9),ISNUMBER(U9)),IF(U9&gt;0,T9/U9,""),"")</f>
        <v/>
      </c>
      <c r="AA9" s="141">
        <f>IF(Z9="","",IF(OR(COUNTIF('M7'!$K$2:$L$263,"&gt;1")&gt;0,COUNTIF('M7'!$K$2:$L$263,"&lt;0")&gt;0),"Review M7: coefficient outside 0-1 / Revoir M7",IF(Z9&lt;0.9,"Below tolerance / Sous la tolérance",IF(Z9&lt;=1.1,"Approximately at tolerance / Environ à la tolérance","Above tolerance / Au-dessus de la tolérance"))))</f>
        <v/>
      </c>
      <c r="AB9" s="139">
        <f>IF(AND(ISNUMBER(T9),N(P9)&gt;0),(M9-T9)/P9*1000,"")</f>
        <v/>
      </c>
      <c r="AC9" s="142">
        <f>IF(NOT(ISNUMBER(G9)),"CVSS required: score with the NVD or FIRST CVSS v4.0 calculator / CVSS requis",IF(H9="","CVSS vector missing: keep the vector next to the score / Vecteur CVSS manquant",IF(NOT(AND(LEFT(H9,9)="CVSS:4.0/",ISNUMBER(SEARCH("/AV:",H9)),ISNUMBER(SEARCH("/AC:",H9)),ISNUMBER(SEARCH("/AT:",H9)),ISNUMBER(SEARCH("/PR:",H9)),ISNUMBER(SEARCH("/UI:",H9)),ISNUMBER(SEARCH("/VC:",H9)),ISNUMBER(SEARCH("/VI:",H9)),ISNUMBER(SEARCH("/VA:",H9)),ISNUMBER(SEARCH("/SC:",H9)),ISNUMBER(SEARCH("/SI:",H9)),ISNUMBER(SEARCH("/SA:",H9)))),"CVSS vector invalid: CVSS:4.0/ with all 11 base metrics / Vecteur CVSS invalide",IF(NOT(AND(ISNUMBER($E$14),$E$14&gt;0,$E$14&lt;1)),"Appetite (E14) must be &gt; 0 and &lt; 1 / Appétence requise",IF(NOT(ISNUMBER(M9)),"θ required (&gt; 0) on sheet S7 / θ requis",IF(OR(COUNTIF('M7'!$K$2:$L$263,"&gt;1")&gt;0,COUNTIF('M7'!$K$2:$L$263,"&lt;0")&gt;0),"A coefficient on M7 is outside 0-1: correct it / Un coefficient de M7 est hors de 0-1",IF(OR(S9&gt;M9,S9&lt;0),"Mitigated &gt; Estimated: reduction estimates are wrong / Mitigé &gt; Estimé : estimations erronées",IF(AND(ISNUMBER(AD9),OR(AD9&lt;0,AD9&gt;1)),"Transfer share must be 0-1 / Part transférée : 0 à 1","OK - verify the score against the vector with the calculator / vérifier le score avec le calculateur"))))))))</f>
        <v/>
      </c>
      <c r="AD9" s="191" t="n"/>
      <c r="AE9" s="192" t="n"/>
    </row>
    <row r="10" ht="15" customHeight="1">
      <c r="B10" s="62" t="n"/>
      <c r="C10" s="69">
        <f>'S8'!$B$2</f>
        <v/>
      </c>
      <c r="D10" s="51">
        <f>'S8'!$B$3</f>
        <v/>
      </c>
      <c r="E10" s="89">
        <f>'S8'!$B$6</f>
        <v/>
      </c>
      <c r="F10" s="89">
        <f>'S8'!$B$7</f>
        <v/>
      </c>
      <c r="G10" s="80" t="n"/>
      <c r="H10" s="190" t="n"/>
      <c r="I10" s="89">
        <f>'S8'!$B$8</f>
        <v/>
      </c>
      <c r="J10" s="89">
        <f>'S8'!$B$9</f>
        <v/>
      </c>
      <c r="K10" s="89">
        <f>'S8'!$B$10</f>
        <v/>
      </c>
      <c r="L10" s="89">
        <f>'S8'!$B$11</f>
        <v/>
      </c>
      <c r="M10" s="133">
        <f>IF(NOT(ISNUMBER(G10)),"CVSS required",IF(N(K10)&lt;=0,"θ required",E10*F10*G10*((I10+J10)/2)*L10/K10*$E$15))</f>
        <v/>
      </c>
      <c r="N10" s="134">
        <f>IF(NOT(ISNUMBER(G10)),"CVSS required",IF(N(K10)&lt;=0,"θ required",IF(NOT(AND(ISNUMBER($E$14),$E$14&gt;0,$E$14&lt;1)),"Appetite required",E10*F10*G10*$E$14*L10/K10*$E$15)))</f>
        <v/>
      </c>
      <c r="O10" s="3" t="n"/>
      <c r="P10" s="143">
        <f>'M8'!N265</f>
        <v/>
      </c>
      <c r="Q10" s="144">
        <f>'M8'!Q266</f>
        <v/>
      </c>
      <c r="R10" s="144">
        <f>'M8'!P266</f>
        <v/>
      </c>
      <c r="S10" s="145">
        <f>IF(ISNUMBER(M10),M10*Q10*R10,"")</f>
        <v/>
      </c>
      <c r="T10" s="138">
        <f>IF(ISNUMBER(M10),MAX(0,M10-S10),"")</f>
        <v/>
      </c>
      <c r="U10" s="146">
        <f>N10</f>
        <v/>
      </c>
      <c r="V10" s="3" t="n"/>
      <c r="W10" s="52" t="n">
        <v>0</v>
      </c>
      <c r="X10" s="54" t="n"/>
      <c r="Y10" s="147">
        <f>IF(AND(ISNUMBER(M10),ISNUMBER(N10)),IF(N10&gt;0,M10/N10,""),"")</f>
        <v/>
      </c>
      <c r="Z10" s="147">
        <f>IF(AND(ISNUMBER(T10),ISNUMBER(U10)),IF(U10&gt;0,T10/U10,""),"")</f>
        <v/>
      </c>
      <c r="AA10" s="148">
        <f>IF(Z10="","",IF(OR(COUNTIF('M8'!$K$2:$L$263,"&gt;1")&gt;0,COUNTIF('M8'!$K$2:$L$263,"&lt;0")&gt;0),"Review M8: coefficient outside 0-1 / Revoir M8",IF(Z10&lt;0.9,"Below tolerance / Sous la tolérance",IF(Z10&lt;=1.1,"Approximately at tolerance / Environ à la tolérance","Above tolerance / Au-dessus de la tolérance"))))</f>
        <v/>
      </c>
      <c r="AB10" s="146">
        <f>IF(AND(ISNUMBER(T10),N(P10)&gt;0),(M10-T10)/P10*1000,"")</f>
        <v/>
      </c>
      <c r="AC10" s="149">
        <f>IF(NOT(ISNUMBER(G10)),"CVSS required: score with the NVD or FIRST CVSS v4.0 calculator / CVSS requis",IF(H10="","CVSS vector missing: keep the vector next to the score / Vecteur CVSS manquant",IF(NOT(AND(LEFT(H10,9)="CVSS:4.0/",ISNUMBER(SEARCH("/AV:",H10)),ISNUMBER(SEARCH("/AC:",H10)),ISNUMBER(SEARCH("/AT:",H10)),ISNUMBER(SEARCH("/PR:",H10)),ISNUMBER(SEARCH("/UI:",H10)),ISNUMBER(SEARCH("/VC:",H10)),ISNUMBER(SEARCH("/VI:",H10)),ISNUMBER(SEARCH("/VA:",H10)),ISNUMBER(SEARCH("/SC:",H10)),ISNUMBER(SEARCH("/SI:",H10)),ISNUMBER(SEARCH("/SA:",H10)))),"CVSS vector invalid: CVSS:4.0/ with all 11 base metrics / Vecteur CVSS invalide",IF(NOT(AND(ISNUMBER($E$14),$E$14&gt;0,$E$14&lt;1)),"Appetite (E14) must be &gt; 0 and &lt; 1 / Appétence requise",IF(NOT(ISNUMBER(M10)),"θ required (&gt; 0) on sheet S8 / θ requis",IF(OR(COUNTIF('M8'!$K$2:$L$263,"&gt;1")&gt;0,COUNTIF('M8'!$K$2:$L$263,"&lt;0")&gt;0),"A coefficient on M8 is outside 0-1: correct it / Un coefficient de M8 est hors de 0-1",IF(OR(S10&gt;M10,S10&lt;0),"Mitigated &gt; Estimated: reduction estimates are wrong / Mitigé &gt; Estimé : estimations erronées",IF(AND(ISNUMBER(AD10),OR(AD10&lt;0,AD10&gt;1)),"Transfer share must be 0-1 / Part transférée : 0 à 1","OK - verify the score against the vector with the calculator / vérifier le score avec le calculateur"))))))))</f>
        <v/>
      </c>
      <c r="AD10" s="193" t="n"/>
      <c r="AE10" s="194" t="n"/>
    </row>
    <row r="11" ht="15" customHeight="1">
      <c r="B11" s="62" t="n"/>
      <c r="C11" s="4">
        <f>'S9'!$B$2</f>
        <v/>
      </c>
      <c r="D11" s="30">
        <f>'S9'!$B$3</f>
        <v/>
      </c>
      <c r="E11" s="88">
        <f>'S9'!$B$6</f>
        <v/>
      </c>
      <c r="F11" s="88">
        <f>'S9'!$B$7</f>
        <v/>
      </c>
      <c r="G11" s="80" t="n"/>
      <c r="H11" s="190" t="n"/>
      <c r="I11" s="88">
        <f>'S9'!$B$8</f>
        <v/>
      </c>
      <c r="J11" s="88">
        <f>'S9'!$B$9</f>
        <v/>
      </c>
      <c r="K11" s="88">
        <f>'S9'!$B$10</f>
        <v/>
      </c>
      <c r="L11" s="88">
        <f>'S9'!$B$11</f>
        <v/>
      </c>
      <c r="M11" s="133">
        <f>IF(NOT(ISNUMBER(G11)),"CVSS required",IF(N(K11)&lt;=0,"θ required",E11*F11*G11*((I11+J11)/2)*L11/K11*$E$15))</f>
        <v/>
      </c>
      <c r="N11" s="134">
        <f>IF(NOT(ISNUMBER(G11)),"CVSS required",IF(N(K11)&lt;=0,"θ required",IF(NOT(AND(ISNUMBER($E$14),$E$14&gt;0,$E$14&lt;1)),"Appetite required",E11*F11*G11*$E$14*L11/K11*$E$15)))</f>
        <v/>
      </c>
      <c r="O11" s="3" t="n"/>
      <c r="P11" s="135">
        <f>'M9'!N265</f>
        <v/>
      </c>
      <c r="Q11" s="136">
        <f>'M9'!Q266</f>
        <v/>
      </c>
      <c r="R11" s="136">
        <f>'M9'!P266</f>
        <v/>
      </c>
      <c r="S11" s="137">
        <f>IF(ISNUMBER(M11),M11*Q11*R11,"")</f>
        <v/>
      </c>
      <c r="T11" s="138">
        <f>IF(ISNUMBER(M11),MAX(0,M11-S11),"")</f>
        <v/>
      </c>
      <c r="U11" s="139">
        <f>N11</f>
        <v/>
      </c>
      <c r="V11" s="3" t="n"/>
      <c r="W11" s="4" t="n">
        <v>0</v>
      </c>
      <c r="X11" s="54" t="n"/>
      <c r="Y11" s="140">
        <f>IF(AND(ISNUMBER(M11),ISNUMBER(N11)),IF(N11&gt;0,M11/N11,""),"")</f>
        <v/>
      </c>
      <c r="Z11" s="140">
        <f>IF(AND(ISNUMBER(T11),ISNUMBER(U11)),IF(U11&gt;0,T11/U11,""),"")</f>
        <v/>
      </c>
      <c r="AA11" s="141">
        <f>IF(Z11="","",IF(OR(COUNTIF('M9'!$K$2:$L$263,"&gt;1")&gt;0,COUNTIF('M9'!$K$2:$L$263,"&lt;0")&gt;0),"Review M9: coefficient outside 0-1 / Revoir M9",IF(Z11&lt;0.9,"Below tolerance / Sous la tolérance",IF(Z11&lt;=1.1,"Approximately at tolerance / Environ à la tolérance","Above tolerance / Au-dessus de la tolérance"))))</f>
        <v/>
      </c>
      <c r="AB11" s="139">
        <f>IF(AND(ISNUMBER(T11),N(P11)&gt;0),(M11-T11)/P11*1000,"")</f>
        <v/>
      </c>
      <c r="AC11" s="142">
        <f>IF(NOT(ISNUMBER(G11)),"CVSS required: score with the NVD or FIRST CVSS v4.0 calculator / CVSS requis",IF(H11="","CVSS vector missing: keep the vector next to the score / Vecteur CVSS manquant",IF(NOT(AND(LEFT(H11,9)="CVSS:4.0/",ISNUMBER(SEARCH("/AV:",H11)),ISNUMBER(SEARCH("/AC:",H11)),ISNUMBER(SEARCH("/AT:",H11)),ISNUMBER(SEARCH("/PR:",H11)),ISNUMBER(SEARCH("/UI:",H11)),ISNUMBER(SEARCH("/VC:",H11)),ISNUMBER(SEARCH("/VI:",H11)),ISNUMBER(SEARCH("/VA:",H11)),ISNUMBER(SEARCH("/SC:",H11)),ISNUMBER(SEARCH("/SI:",H11)),ISNUMBER(SEARCH("/SA:",H11)))),"CVSS vector invalid: CVSS:4.0/ with all 11 base metrics / Vecteur CVSS invalide",IF(NOT(AND(ISNUMBER($E$14),$E$14&gt;0,$E$14&lt;1)),"Appetite (E14) must be &gt; 0 and &lt; 1 / Appétence requise",IF(NOT(ISNUMBER(M11)),"θ required (&gt; 0) on sheet S9 / θ requis",IF(OR(COUNTIF('M9'!$K$2:$L$263,"&gt;1")&gt;0,COUNTIF('M9'!$K$2:$L$263,"&lt;0")&gt;0),"A coefficient on M9 is outside 0-1: correct it / Un coefficient de M9 est hors de 0-1",IF(OR(S11&gt;M11,S11&lt;0),"Mitigated &gt; Estimated: reduction estimates are wrong / Mitigé &gt; Estimé : estimations erronées",IF(AND(ISNUMBER(AD11),OR(AD11&lt;0,AD11&gt;1)),"Transfer share must be 0-1 / Part transférée : 0 à 1","OK - verify the score against the vector with the calculator / vérifier le score avec le calculateur"))))))))</f>
        <v/>
      </c>
      <c r="AD11" s="191" t="n"/>
      <c r="AE11" s="192" t="n"/>
    </row>
    <row r="12" ht="15" customHeight="1">
      <c r="B12" s="62" t="n"/>
      <c r="C12" s="69">
        <f>'S10'!$B$2</f>
        <v/>
      </c>
      <c r="D12" s="51">
        <f>'S10'!$B$3</f>
        <v/>
      </c>
      <c r="E12" s="89">
        <f>'S10'!$B$6</f>
        <v/>
      </c>
      <c r="F12" s="89">
        <f>'S10'!$B$7</f>
        <v/>
      </c>
      <c r="G12" s="80" t="n"/>
      <c r="H12" s="190" t="n"/>
      <c r="I12" s="89">
        <f>'S10'!$B$8</f>
        <v/>
      </c>
      <c r="J12" s="89">
        <f>'S10'!$B$9</f>
        <v/>
      </c>
      <c r="K12" s="89">
        <f>'S10'!$B$10</f>
        <v/>
      </c>
      <c r="L12" s="89">
        <f>'S10'!$B$11</f>
        <v/>
      </c>
      <c r="M12" s="133">
        <f>IF(NOT(ISNUMBER(G12)),"CVSS required",IF(N(K12)&lt;=0,"θ required",E12*F12*G12*((I12+J12)/2)*L12/K12*$E$15))</f>
        <v/>
      </c>
      <c r="N12" s="134">
        <f>IF(NOT(ISNUMBER(G12)),"CVSS required",IF(N(K12)&lt;=0,"θ required",IF(NOT(AND(ISNUMBER($E$14),$E$14&gt;0,$E$14&lt;1)),"Appetite required",E12*F12*G12*$E$14*L12/K12*$E$15)))</f>
        <v/>
      </c>
      <c r="O12" s="3" t="n"/>
      <c r="P12" s="143">
        <f>'M10'!N265</f>
        <v/>
      </c>
      <c r="Q12" s="144">
        <f>'M10'!Q266</f>
        <v/>
      </c>
      <c r="R12" s="144">
        <f>'M10'!P266</f>
        <v/>
      </c>
      <c r="S12" s="145">
        <f>IF(ISNUMBER(M12),M12*Q12*R12,"")</f>
        <v/>
      </c>
      <c r="T12" s="138">
        <f>IF(ISNUMBER(M12),MAX(0,M12-S12),"")</f>
        <v/>
      </c>
      <c r="U12" s="146">
        <f>N12</f>
        <v/>
      </c>
      <c r="V12" s="3" t="n"/>
      <c r="W12" s="52" t="n">
        <v>0</v>
      </c>
      <c r="X12" s="54" t="n"/>
      <c r="Y12" s="147">
        <f>IF(AND(ISNUMBER(M12),ISNUMBER(N12)),IF(N12&gt;0,M12/N12,""),"")</f>
        <v/>
      </c>
      <c r="Z12" s="147">
        <f>IF(AND(ISNUMBER(T12),ISNUMBER(U12)),IF(U12&gt;0,T12/U12,""),"")</f>
        <v/>
      </c>
      <c r="AA12" s="148">
        <f>IF(Z12="","",IF(OR(COUNTIF('M10'!$K$2:$L$263,"&gt;1")&gt;0,COUNTIF('M10'!$K$2:$L$263,"&lt;0")&gt;0),"Review M10: coefficient outside 0-1 / Revoir M10",IF(Z12&lt;0.9,"Below tolerance / Sous la tolérance",IF(Z12&lt;=1.1,"Approximately at tolerance / Environ à la tolérance","Above tolerance / Au-dessus de la tolérance"))))</f>
        <v/>
      </c>
      <c r="AB12" s="146">
        <f>IF(AND(ISNUMBER(T12),N(P12)&gt;0),(M12-T12)/P12*1000,"")</f>
        <v/>
      </c>
      <c r="AC12" s="149">
        <f>IF(NOT(ISNUMBER(G12)),"CVSS required: score with the NVD or FIRST CVSS v4.0 calculator / CVSS requis",IF(H12="","CVSS vector missing: keep the vector next to the score / Vecteur CVSS manquant",IF(NOT(AND(LEFT(H12,9)="CVSS:4.0/",ISNUMBER(SEARCH("/AV:",H12)),ISNUMBER(SEARCH("/AC:",H12)),ISNUMBER(SEARCH("/AT:",H12)),ISNUMBER(SEARCH("/PR:",H12)),ISNUMBER(SEARCH("/UI:",H12)),ISNUMBER(SEARCH("/VC:",H12)),ISNUMBER(SEARCH("/VI:",H12)),ISNUMBER(SEARCH("/VA:",H12)),ISNUMBER(SEARCH("/SC:",H12)),ISNUMBER(SEARCH("/SI:",H12)),ISNUMBER(SEARCH("/SA:",H12)))),"CVSS vector invalid: CVSS:4.0/ with all 11 base metrics / Vecteur CVSS invalide",IF(NOT(AND(ISNUMBER($E$14),$E$14&gt;0,$E$14&lt;1)),"Appetite (E14) must be &gt; 0 and &lt; 1 / Appétence requise",IF(NOT(ISNUMBER(M12)),"θ required (&gt; 0) on sheet S10 / θ requis",IF(OR(COUNTIF('M10'!$K$2:$L$263,"&gt;1")&gt;0,COUNTIF('M10'!$K$2:$L$263,"&lt;0")&gt;0),"A coefficient on M10 is outside 0-1: correct it / Un coefficient de M10 est hors de 0-1",IF(OR(S12&gt;M12,S12&lt;0),"Mitigated &gt; Estimated: reduction estimates are wrong / Mitigé &gt; Estimé : estimations erronées",IF(AND(ISNUMBER(AD12),OR(AD12&lt;0,AD12&gt;1)),"Transfer share must be 0-1 / Part transférée : 0 à 1","OK - verify the score against the vector with the calculator / vérifier le score avec le calculateur"))))))))</f>
        <v/>
      </c>
      <c r="AD12" s="193" t="n"/>
      <c r="AE12" s="194" t="n"/>
    </row>
    <row r="13" ht="15" customHeight="1">
      <c r="B13" s="63" t="n"/>
      <c r="C13" s="64" t="n"/>
      <c r="D13" s="64" t="n"/>
      <c r="E13" s="64" t="n"/>
      <c r="F13" s="64" t="n"/>
      <c r="G13" s="64" t="n"/>
      <c r="H13" s="64" t="n"/>
      <c r="I13" s="64" t="n"/>
      <c r="J13" s="64" t="n"/>
      <c r="K13" s="64" t="n"/>
      <c r="L13" s="64" t="n"/>
      <c r="M13" s="65" t="n"/>
      <c r="N13" s="64" t="n"/>
      <c r="O13" s="5" t="n"/>
      <c r="P13" s="64" t="n"/>
      <c r="Q13" s="64" t="n"/>
      <c r="R13" s="64" t="n"/>
      <c r="S13" s="65" t="n"/>
      <c r="T13" s="66" t="n"/>
      <c r="U13" s="57" t="inlineStr">
        <is>
          <t>Cost / Coût :</t>
        </is>
      </c>
      <c r="V13" s="5" t="n"/>
      <c r="W13" s="150">
        <f>(W3*P3)+(W4*P4)+(W5*P5)+(W6*P6)+(W7*P7)+(W8*P8)+(W9*P9)+(W10*P10)+(W11*P11)+(W12*P12)</f>
        <v/>
      </c>
      <c r="X13" s="54" t="n"/>
      <c r="Y13" s="56" t="n"/>
    </row>
    <row r="14" ht="15" customHeight="1">
      <c r="C14" s="2" t="n"/>
      <c r="D14" s="68" t="inlineStr">
        <is>
          <t>Risk appetite - Appétence au risque :</t>
        </is>
      </c>
      <c r="E14" s="55" t="n">
        <v>0.5</v>
      </c>
      <c r="F14" s="151">
        <f>IF(AND(ISNUMBER(E14),E14&gt;0,E14&lt;1),IF(OR(E14&lt;0.1,E14&gt;0.9),"Outside recommended 0.1-0.9 / hors plage recommandée",""),"Appetite must be &gt; 0 and &lt; 1 / doit être &gt; 0 et &lt; 1")</f>
        <v/>
      </c>
      <c r="M14" s="6" t="n"/>
      <c r="N14" s="152" t="inlineStr">
        <is>
          <t>Total cost / Coût total :</t>
        </is>
      </c>
      <c r="O14" s="2" t="n"/>
      <c r="P14" s="153">
        <f>SUM(P3:P12)</f>
        <v/>
      </c>
      <c r="Q14" s="2" t="n"/>
      <c r="R14" s="2" t="n"/>
      <c r="S14" s="2" t="n"/>
      <c r="T14" s="2" t="n"/>
      <c r="U14" s="67" t="n"/>
      <c r="V14" s="67" t="n"/>
      <c r="W14" s="67" t="n"/>
      <c r="X14" s="67" t="n"/>
      <c r="Y14" s="154" t="inlineStr">
        <is>
          <t>Cybersecurity budget — best-practice benchmark / Budget de cybersécurité — référence de bonnes pratiques</t>
        </is>
      </c>
    </row>
    <row r="15" ht="15" customHeight="1">
      <c r="C15" s="2" t="n"/>
      <c r="D15" s="68" t="inlineStr">
        <is>
          <t>Multiplication factor - Facteur :</t>
        </is>
      </c>
      <c r="E15" s="155" t="n">
        <v>1000</v>
      </c>
      <c r="F15" s="151">
        <f>IF(E15&lt;&gt;1000,"CRG convention is 1,000 / convention CRG : 1 000","")</f>
        <v/>
      </c>
      <c r="P15" s="9" t="n"/>
      <c r="Q15" s="2" t="n"/>
      <c r="R15" s="2" t="n"/>
      <c r="S15" s="2" t="n"/>
      <c r="T15" s="2" t="n"/>
      <c r="U15" s="2" t="n"/>
      <c r="V15" s="2" t="n"/>
      <c r="W15" s="2" t="n"/>
      <c r="X15" s="2" t="n"/>
      <c r="Y15" s="56" t="inlineStr">
        <is>
          <t>Total IT budget incl. salaries / Budget TI total ($)</t>
        </is>
      </c>
      <c r="AB15" s="156" t="n"/>
    </row>
    <row r="16" ht="15" customHeight="1">
      <c r="C16" s="2" t="n"/>
      <c r="D16" s="2" t="n"/>
      <c r="J16" s="71" t="inlineStr">
        <is>
          <t>4. Saisir le score CVSS v4.0 (G3:G12) et le vecteur (H3:H12)</t>
        </is>
      </c>
      <c r="K16" s="71" t="n"/>
      <c r="L16" s="73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56" t="inlineStr">
        <is>
          <t>Benchmark % at appetite E14 / % de référence</t>
        </is>
      </c>
      <c r="AB16" s="157">
        <f>IF(AND(ISNUMBER(E14),E14&gt;0,E14&lt;1),IF(E14&lt;=0.3,0.12,IF(E14&lt;=0.5,0.12+(E14-0.3)/0.2*(0.078-0.12),IF(E14&lt;=0.7,0.078+(E14-0.5)/0.2*(0.04-0.078),0.04))),"")</f>
        <v/>
      </c>
    </row>
    <row r="17" ht="15" customHeight="1">
      <c r="C17" s="2" t="n"/>
      <c r="D17" s="158" t="inlineStr">
        <is>
          <t>2. Indiquer l'appétence au risque de l'organisation (E14)</t>
        </is>
      </c>
      <c r="J17" s="71" t="inlineStr">
        <is>
          <t>4. Enter the CVSS v4.0 score (G3:G12) and vector (H3:H12)</t>
        </is>
      </c>
      <c r="K17" s="73" t="n"/>
      <c r="L17" s="73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56" t="inlineStr">
        <is>
          <t>Benchmark cyber budget / Budget de référence ($)</t>
        </is>
      </c>
      <c r="AB17" s="159">
        <f>IF(AND(N(AB15)&gt;0,ISNUMBER(AB16)),AB15*AB16,"")</f>
        <v/>
      </c>
    </row>
    <row r="18" ht="15" customHeight="1">
      <c r="C18" s="2" t="n"/>
      <c r="D18" s="160" t="inlineStr">
        <is>
          <t>2. Set the organization's risk appetite (E14)</t>
        </is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56" t="inlineStr">
        <is>
          <t>Recommended cost W13 ÷ IT budget / Coût recommandé ÷ budget TI</t>
        </is>
      </c>
      <c r="AB18" s="157">
        <f>IF(N(AB15)&gt;0,W13/AB15,"")</f>
        <v/>
      </c>
    </row>
    <row r="19" ht="38" customHeight="1">
      <c r="D19" s="82" t="inlineStr">
        <is>
          <t>Very low / Très faible = 0.1</t>
        </is>
      </c>
      <c r="F19" s="161" t="inlineStr">
        <is>
          <t>Procédure en 8 étapes (chapitre 6) / 8-step procedure (chapter 6)</t>
        </is>
      </c>
      <c r="Y19" s="195" t="inlineStr">
        <is>
          <t>Rule: appetite ≤ 0.30 → 12%; 0.50 → 7.8%; ≥ 0.70 → 4%; linear in between; % of the total IT budget, salaries included. / Règle : ≤ 0,30 → 12 %; 0,50 → 7,8 %; ≥ 0,70 → 4 %; interpolation linéaire.</t>
        </is>
      </c>
    </row>
    <row r="20" ht="12.75" customHeight="1">
      <c r="D20" s="82" t="inlineStr">
        <is>
          <t>Risk averse / Aversion au risque = 0.3</t>
        </is>
      </c>
      <c r="F20" t="inlineStr">
        <is>
          <t>1. Préparer le classeur et vérifier le moteur : saisir l'exemple du chapitre 6 en S1 (CVSS 9,3), Calculer maintenant, confirmer Re 3 554,46 et résiduel 1 937,18</t>
        </is>
      </c>
      <c r="Y20" s="56" t="inlineStr">
        <is>
          <t>Current cybersecurity spending ($) / Dépenses actuelles de cybersécurité ($)</t>
        </is>
      </c>
      <c r="AB20" s="156" t="n"/>
    </row>
    <row r="21" ht="12.75" customHeight="1">
      <c r="D21" s="82" t="inlineStr">
        <is>
          <t>Risk neutral / Neutre = 0.5</t>
        </is>
      </c>
      <c r="F21" t="inlineStr">
        <is>
          <t>2. Indiquer l'appétence approuvée ou estimée (E14, strictement entre 0 et 1, jamais la valeur provisoire 0,5) et garder le facteur à 1 000 (E15)</t>
        </is>
      </c>
      <c r="H21" s="163" t="n"/>
      <c r="I21" s="163" t="n"/>
      <c r="S21" s="164" t="inlineStr">
        <is>
          <t>8. Recommander le portefeuille : 1 dans la colonne W</t>
        </is>
      </c>
      <c r="Y21" s="56" t="inlineStr">
        <is>
          <t>Planned = current + recommended (W13) ($) / Prévu = actuel + recommandé ($)</t>
        </is>
      </c>
      <c r="AB21" s="159">
        <f>IF(ISNUMBER(AB20),AB20+W13,"")</f>
        <v/>
      </c>
    </row>
    <row r="22" ht="12.75" customHeight="1">
      <c r="D22" s="82" t="inlineStr">
        <is>
          <t>Risk seeking / Propension au risque = 0.7</t>
        </is>
      </c>
      <c r="F22" t="inlineStr">
        <is>
          <t>3. Renseigner les scénarios (feuilles S1 à S10) : Pb(A), Pb(ψ,A), δe, δm (≥ δe), θ (&gt; 0), μ(E), avec justification, preuve et confiance</t>
        </is>
      </c>
      <c r="S22" s="164" t="inlineStr">
        <is>
          <t>8. Recommend the portfolio: enter 1 in column W</t>
        </is>
      </c>
      <c r="Y22" s="56" t="inlineStr">
        <is>
          <t>Planned % of IT budget / % prévu du budget TI</t>
        </is>
      </c>
      <c r="AB22" s="157">
        <f>IF(AND(N(AB15)&gt;0,ISNUMBER(AB21)),AB21/AB15,"")</f>
        <v/>
      </c>
    </row>
    <row r="23" ht="12.75" customHeight="1">
      <c r="D23" s="82" t="inlineStr">
        <is>
          <t>Very high / Très élevée = 0.9</t>
        </is>
      </c>
      <c r="F23" t="inlineStr">
        <is>
          <t>4. Saisir le score CVSS v4.0 (G3:G12) et son vecteur (H3:H12) : calculateur NVD https://nvd.nist.gov/vuln-metrics/cvss/v4-calculator ou FIRST</t>
        </is>
      </c>
      <c r="Y23" s="56" t="inlineStr">
        <is>
          <t>Gap to target ($; positive = below target) / Écart à la cible ($)</t>
        </is>
      </c>
      <c r="AB23" s="159">
        <f>IF(AND(ISNUMBER(AB17),ISNUMBER(AB21)),AB17-AB21,"")</f>
        <v/>
      </c>
    </row>
    <row r="24" ht="12.75" customHeight="1">
      <c r="D24" t="inlineStr">
        <is>
          <t>Strictly &gt; 0 and &lt; 1 / strictement &gt; 0 et &lt; 1</t>
        </is>
      </c>
      <c r="F24" t="inlineStr">
        <is>
          <t>5. Calculer et lire le risque estimé et toléré : mode manuel - Formules &gt; Calculer maintenant (F9); ratio avant traitement = dommage moyen ÷ appétence</t>
        </is>
      </c>
      <c r="Y24" s="56" t="inlineStr">
        <is>
          <t>Implied appetite of the planned spending / Appétence implicite</t>
        </is>
      </c>
      <c r="AB24" s="196">
        <f>IF(ISNUMBER(AB22),IF(AB22&gt;=0.12,0.3,IF(AB22&gt;=0.078,0.3+(0.12-AB22)/(0.12-0.078)*0.2,IF(AB22&gt;=0.04,0.5+(0.078-AB22)/(0.078-0.04)*0.2,0.7))),"")</f>
        <v/>
      </c>
    </row>
    <row r="25" ht="30" customHeight="1">
      <c r="D25" s="81" t="n"/>
      <c r="F25" t="inlineStr">
        <is>
          <t>6. Définir le traitement (feuilles M1 à M10) : 1 dans la colonne A; réductions combinées par la règle du produit 1 − ∏(1 − rᵢ)</t>
        </is>
      </c>
      <c r="Y25" s="195" t="inlineStr">
        <is>
          <t>Report the gap; closing it or revising the appetite is a Management decision required. Count shared controls once (split their cost across scenarios). / L'écart est signalé; le combler ou réviser l'appétence : Décision de la direction requise.</t>
        </is>
      </c>
    </row>
    <row r="26" ht="12.75" customHeight="1">
      <c r="F26" t="inlineStr">
        <is>
          <t>7. Recalculer et lire le résiduel, le ratio risque/tolérance et le coût-efficacité; transfert, évitement, acceptation = décisions</t>
        </is>
      </c>
    </row>
    <row r="27" ht="12.75" customHeight="1">
      <c r="F27" t="inlineStr">
        <is>
          <t>8. Recommander le portefeuille (colonne W = 1) et calibrer le budget (Y14:AC25) - Décision de la direction requise</t>
        </is>
      </c>
    </row>
    <row r="28" ht="12.75" customHeight="1">
      <c r="F28" t="inlineStr">
        <is>
          <t>1. Prepare the workbook and verify the engine: enter the chapter 6 worked example in S1 (CVSS 9.3), Calculate Now, confirm Re 3,554.46 and residual 1,937.18</t>
        </is>
      </c>
      <c r="J28" s="163" t="n"/>
    </row>
    <row r="29" ht="12.75" customHeight="1">
      <c r="F29" t="inlineStr">
        <is>
          <t>2. Enter the approved or estimated appetite (E14, strictly between 0 and 1, never the 0.5 placeholder) and keep the factor at 1,000 (E15)</t>
        </is>
      </c>
    </row>
    <row r="30" ht="12.75" customHeight="1">
      <c r="F30" t="inlineStr">
        <is>
          <t>3. Populate the scenario sheets (S1 to S10): Pb(A), Pb(ψ,A), δe, δm (≥ δe), θ (&gt; 0), μ(E), with rationale, evidence and confidence</t>
        </is>
      </c>
    </row>
    <row r="31" ht="12.75" customHeight="1">
      <c r="F31" t="inlineStr">
        <is>
          <t>4. Enter each CVSS v4.0 score (G3:G12) and its vector (H3:H12): NVD calculator https://nvd.nist.gov/vuln-metrics/cvss/v4-calculator or FIRST</t>
        </is>
      </c>
    </row>
    <row r="32">
      <c r="F32" t="inlineStr">
        <is>
          <t>5. Calculate and read estimated and tolerated risk: manual mode - Formulas &gt; Calculate Now (F9); pre-treatment ratio = average damage ÷ appetite</t>
        </is>
      </c>
    </row>
    <row r="33" ht="12.75" customHeight="1">
      <c r="F33" t="inlineStr">
        <is>
          <t>6. Define the treatment (sheets M1 to M10): 1 in column A; reductions combine with the product rule 1 − ∏(1 − rᵢ)</t>
        </is>
      </c>
    </row>
    <row r="34" ht="12.75" customHeight="1">
      <c r="F34" t="inlineStr">
        <is>
          <t>7. Recalculate and read residual risk, the risk-to-tolerance ratio and cost-effectiveness; transfer, avoidance, acceptance are decisions</t>
        </is>
      </c>
    </row>
    <row r="35">
      <c r="F35" t="inlineStr">
        <is>
          <t>8. Recommend the portfolio (column W = 1) and calibrate the budget (Y14:AC25) - Management decision required</t>
        </is>
      </c>
    </row>
    <row r="36"/>
    <row r="37">
      <c r="F37" s="161" t="inlineStr">
        <is>
          <t>Formulas and rules (CyberRiskGuardian) / Formules et règles</t>
        </is>
      </c>
    </row>
    <row r="38">
      <c r="F38" t="inlineStr">
        <is>
          <t>Estimated risk Re = Pb(A) × Pb(ψ,A) × CVSS × ((δe + δm) / 2) × μ(E) ÷ θ(ψ,A) × Factor</t>
        </is>
      </c>
    </row>
    <row r="39">
      <c r="F39" t="inlineStr">
        <is>
          <t>Tolerated risk Rt = Pb(A) × Pb(ψ,A) × CVSS × Appetite × μ(E) ÷ θ(ψ,A) × Factor   (Factor = 1,000)</t>
        </is>
      </c>
    </row>
    <row r="40">
      <c r="F40" t="inlineStr">
        <is>
          <t>Mitigated = Re × probability reduction (rp) × impact reduction (ri); reductions are the share of risk removed (0-1)</t>
        </is>
      </c>
    </row>
    <row r="41">
      <c r="F41" t="inlineStr">
        <is>
          <t>Residual = MAX(0, Re − Mitigated); the Checks column (AC) flags invalid inputs, a missing CVSS vector and Mitigated &gt; Estimated</t>
        </is>
      </c>
    </row>
    <row r="42">
      <c r="F42" t="inlineStr">
        <is>
          <t>Risk-to-tolerance ratio = Residual ÷ Rt: &lt; 0.90 below · 0.90-1.10 approximately at · &gt; 1.10 above tolerance</t>
        </is>
      </c>
    </row>
    <row r="43">
      <c r="F43" t="inlineStr">
        <is>
          <t>Pre-treatment ratio = Re ÷ Rt · Cost-effectiveness = (Re − Residual) ÷ cost × 1,000 (risk units removed per $1,000)</t>
        </is>
      </c>
    </row>
    <row r="44">
      <c r="F44" t="inlineStr">
        <is>
          <t>Package reductions: on each M sheet the selected coefficients combine with the product rule 1 − ∏(1 − rᵢ) per lever (impact, Pb); each rᵢ must be 0-1.</t>
        </is>
      </c>
    </row>
    <row r="45">
      <c r="F45" t="inlineStr">
        <is>
          <t>Mitigation is multiplicative: a package that reduces only probability or only impact (e.g. insurance alone) mitigates nothing here.</t>
        </is>
      </c>
    </row>
    <row r="46">
      <c r="F46" t="inlineStr">
        <is>
          <t>Transfer, avoidance and formal acceptance are management decisions, not reductions; record the transfer share of loss covered and approver (AD, AE).</t>
        </is>
      </c>
    </row>
    <row r="47">
      <c r="F47" t="inlineStr">
        <is>
          <t>CVSS is a mandatory multiplier, never a ranking or selection criterion. Non-technical weakness: score by equivalency, 'limited applicability'.</t>
        </is>
      </c>
    </row>
    <row r="48">
      <c r="F48" s="165" t="inlineStr">
        <is>
          <t>Markers: Analytical estimate — validation required · Information gap — organizational validation required · Management decision required</t>
        </is>
      </c>
    </row>
    <row r="49">
      <c r="F49" s="165" t="inlineStr">
        <is>
          <t>Re = risque estimé · Rt = risque toléré · Mitigé = Re × rp × ri · Résiduel = MAX(0, Re − Mitigé) · Ratio = Résiduel ÷ Rt</t>
        </is>
      </c>
    </row>
    <row r="50">
      <c r="F50" s="165" t="inlineStr">
        <is>
          <t>Repères : Estimation analytique — validation requise · Lacune d'information — validation organisationnelle requise · Décision de la direction requise</t>
        </is>
      </c>
    </row>
    <row r="51">
      <c r="F51" t="inlineStr">
        <is>
          <t>CyberRiskGuardian Excel model v2-6 (October 2026), aligned with Introduction to Cybersecurity Governance, 3rd ed., v2.51, ch06. CC BY-NC 4.0, © Marc-André Léger.</t>
        </is>
      </c>
    </row>
  </sheetData>
  <mergeCells count="26">
    <mergeCell ref="Y20:AA20"/>
    <mergeCell ref="J1:J2"/>
    <mergeCell ref="S21:W21"/>
    <mergeCell ref="K1:K2"/>
    <mergeCell ref="E1:E2"/>
    <mergeCell ref="Y17:AA17"/>
    <mergeCell ref="Y22:AA22"/>
    <mergeCell ref="Q1:Q2"/>
    <mergeCell ref="W1:W2"/>
    <mergeCell ref="Y16:AA16"/>
    <mergeCell ref="Y14:AC14"/>
    <mergeCell ref="Y18:AA18"/>
    <mergeCell ref="Y19:AC19"/>
    <mergeCell ref="L1:L2"/>
    <mergeCell ref="Y25:AC25"/>
    <mergeCell ref="Y23:AA23"/>
    <mergeCell ref="G1:G2"/>
    <mergeCell ref="I1:I2"/>
    <mergeCell ref="S1:S2"/>
    <mergeCell ref="Y24:AA24"/>
    <mergeCell ref="Y15:AA15"/>
    <mergeCell ref="Y21:AA21"/>
    <mergeCell ref="F1:F2"/>
    <mergeCell ref="H1:H2"/>
    <mergeCell ref="S22:W22"/>
    <mergeCell ref="R1:R2"/>
  </mergeCells>
  <conditionalFormatting sqref="M3:M12">
    <cfRule type="expression" priority="3" dxfId="2" stopIfTrue="1">
      <formula>AND(ISNUMBER(M3),ISNUMBER(N3),M3&gt;1.1*N3)</formula>
    </cfRule>
    <cfRule type="expression" priority="4" dxfId="3">
      <formula>AND(ISNUMBER(M3),ISNUMBER(N3),M3&gt;=0.9*N3)</formula>
    </cfRule>
  </conditionalFormatting>
  <conditionalFormatting sqref="T3:T12">
    <cfRule type="expression" priority="5" dxfId="2" stopIfTrue="1">
      <formula>AND(ISNUMBER(T3),ISNUMBER(U3),T3&gt;1.1*U3)</formula>
    </cfRule>
    <cfRule type="expression" priority="6" dxfId="3">
      <formula>AND(ISNUMBER(T3),ISNUMBER(U3),T3&gt;=0.9*U3)</formula>
    </cfRule>
  </conditionalFormatting>
  <conditionalFormatting sqref="Z3:AA12">
    <cfRule type="expression" priority="7" dxfId="2" stopIfTrue="1">
      <formula>AND(ISNUMBER($Z3),$Z3&gt;1.1)</formula>
    </cfRule>
    <cfRule type="expression" priority="8" dxfId="3" stopIfTrue="1">
      <formula>AND(ISNUMBER($Z3),$Z3&gt;=0.9)</formula>
    </cfRule>
    <cfRule type="expression" priority="9" dxfId="4">
      <formula>AND(ISNUMBER($Z3),$Z3&lt;0.9)</formula>
    </cfRule>
  </conditionalFormatting>
  <conditionalFormatting sqref="AC3:AC12">
    <cfRule type="expression" priority="10" dxfId="5">
      <formula>AND(AC3&lt;&gt;"",LEFT(AC3,2)&lt;&gt;"OK")</formula>
    </cfRule>
  </conditionalFormatting>
  <conditionalFormatting sqref="M3:N12">
    <cfRule type="expression" priority="11" dxfId="5">
      <formula>ISTEXT(M3)</formula>
    </cfRule>
  </conditionalFormatting>
  <dataValidations count="8">
    <dataValidation sqref="G3:G12" showDropDown="0" showInputMessage="1" showErrorMessage="1" allowBlank="1" errorTitle="CVSS v4.0" error="Enter the CVSS v4.0 base score (0.0 to 10.0). / Saisir le score de base CVSS v4.0 (0,0 à 10,0)." promptTitle="CVSS v4.0 (0-10)" prompt="Score with the NVD CVSS v4.0 calculator: nvd.nist.gov/vuln-metrics/cvss/v4-calculator. Required. Non-technical weakness: score by equivalency, mark 'limited applicability'." type="decimal" operator="between">
      <formula1>0</formula1>
      <formula2>10</formula2>
    </dataValidation>
    <dataValidation sqref="E14" showDropDown="0" showInputMessage="1" showErrorMessage="1" allowBlank="0" errorTitle="Risk appetite / Appétence" error="Appetite must be strictly between 0 and 1 (recommended 0.1 to 0.9). / Strictement entre 0 et 1 (recommandé 0,1 à 0,9)." promptTitle="Appetite (0 &lt; A &lt; 1)" prompt="0.1 very low · 0.3 risk averse · 0.5 neutral · 0.7 risk seeking · 0.9 very high. Recommended 0.1-0.9. Management decision required." type="custom">
      <formula1>AND(ISNUMBER(E14),E14&gt;0,E14&lt;1)</formula1>
    </dataValidation>
    <dataValidation sqref="E15" showDropDown="0" showInputMessage="1" showErrorMessage="1" allowBlank="0" errorTitle="Factor / Facteur" error="The factor must be positive (CRG convention: 1,000)." promptTitle="Multiplication factor" prompt="CRG convention: 1,000, identical for every scenario of an assessment. It scales scores, not ratios." type="decimal" operator="greaterThan">
      <formula1>0</formula1>
    </dataValidation>
    <dataValidation sqref="W3:W12" showDropDown="0" showInputMessage="1" showErrorMessage="1" allowBlank="1" error="1 = recommended, 0 = not recommended." promptTitle="Recommendation" prompt="1 = recommend this scenario's package; 0 = not recommended. Management decision required." type="whole" operator="between">
      <formula1>0</formula1>
      <formula2>1</formula2>
    </dataValidation>
    <dataValidation sqref="AB15" showDropDown="0" showInputMessage="1" showErrorMessage="1" allowBlank="1" error="Enter the total IT budget in dollars (salaries included)." promptTitle="Total IT budget" prompt="Total IT budget including salaries, 12-month horizon ($)." type="decimal" operator="greaterThanOrEqual">
      <formula1>0</formula1>
    </dataValidation>
    <dataValidation sqref="H3:H12" showDropDown="0" showInputMessage="1" showErrorMessage="1" allowBlank="1" errorTitle="CVSS v4.0 vector" error="Paste the full vector: CVSS:4.0/AV:../AC:../AT:../PR:../UI:../VC:../VI:../VA:../SC:../SI:../SA:.. / Collez le vecteur complet." promptTitle="CVSS v4.0 vector" prompt="Copy the vector string from the NVD or FIRST calculator; the score in G must be the score of this vector." type="custom" errorStyle="warning">
      <formula1>OR(H3="",AND(LEFT(H3,9)="CVSS:4.0/",ISNUMBER(SEARCH("/AV:",H3)),ISNUMBER(SEARCH("/AC:",H3)),ISNUMBER(SEARCH("/AT:",H3)),ISNUMBER(SEARCH("/PR:",H3)),ISNUMBER(SEARCH("/UI:",H3)),ISNUMBER(SEARCH("/VC:",H3)),ISNUMBER(SEARCH("/VI:",H3)),ISNUMBER(SEARCH("/VA:",H3)),ISNUMBER(SEARCH("/SC:",H3)),ISNUMBER(SEARCH("/SI:",H3)),ISNUMBER(SEARCH("/SA:",H3))))</formula1>
    </dataValidation>
    <dataValidation sqref="AD3:AD12" showDropDown="0" showInputMessage="0" showErrorMessage="1" allowBlank="1" error="Share of loss covered by insurance or contract, 0 to 1. Informational: it is never a reduction. / Part de 0 à 1, information seulement." type="decimal" operator="between">
      <formula1>0</formula1>
      <formula2>1</formula2>
    </dataValidation>
    <dataValidation sqref="AB20" showDropDown="0" showInputMessage="0" showErrorMessage="1" allowBlank="1" error="Enter current annual cybersecurity spending in dollars. / Dépenses annuelles actuelles en dollars." type="decimal" operator="greaterThanOrEqual">
      <formula1>0</formula1>
    </dataValidation>
  </dataValidations>
  <hyperlinks>
    <hyperlink xmlns:r="http://schemas.openxmlformats.org/officeDocument/2006/relationships" ref="F22" r:id="rId1"/>
    <hyperlink xmlns:r="http://schemas.openxmlformats.org/officeDocument/2006/relationships" ref="F29" r:id="rId2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F23"/>
  <sheetViews>
    <sheetView zoomScale="270" zoomScaleNormal="270" workbookViewId="0">
      <selection activeCell="B12" sqref="B12"/>
    </sheetView>
  </sheetViews>
  <sheetFormatPr baseColWidth="10" defaultRowHeight="13"/>
  <cols>
    <col width="60.5" customWidth="1" min="1" max="1"/>
    <col width="13.33203125" customWidth="1" min="2" max="2"/>
    <col width="2.33203125" customWidth="1" min="6" max="6"/>
  </cols>
  <sheetData>
    <row r="1" ht="18" customHeight="1">
      <c r="A1" s="166" t="inlineStr">
        <is>
          <t>Risk scenario number 1 / Scénario de risque 1</t>
        </is>
      </c>
      <c r="F1" s="48" t="n"/>
    </row>
    <row r="2">
      <c r="A2" s="49" t="inlineStr">
        <is>
          <t xml:space="preserve">Scenario number / Numéro : </t>
        </is>
      </c>
      <c r="B2" s="50" t="n">
        <v>1</v>
      </c>
      <c r="F2" s="48" t="n"/>
    </row>
    <row r="3" ht="16" customHeight="1">
      <c r="A3" s="49" t="inlineStr">
        <is>
          <t xml:space="preserve">Scenario name / Nom du scénario : </t>
        </is>
      </c>
      <c r="B3" s="107" t="n"/>
      <c r="C3" s="72" t="n"/>
      <c r="D3" s="72" t="n"/>
      <c r="E3" s="72" t="n"/>
      <c r="F3" s="48" t="n"/>
    </row>
    <row r="4">
      <c r="A4" s="49" t="inlineStr">
        <is>
          <t>Date of creation / Date de création du scénario :</t>
        </is>
      </c>
      <c r="B4" s="84" t="n"/>
      <c r="F4" s="48" t="n"/>
    </row>
    <row r="5">
      <c r="A5" s="48" t="n"/>
      <c r="B5" s="48" t="n"/>
      <c r="C5" s="48" t="n"/>
      <c r="D5" s="48" t="n"/>
      <c r="E5" s="48" t="n"/>
      <c r="F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F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F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F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F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F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F11" s="48" t="n"/>
    </row>
    <row r="12">
      <c r="A12" s="48" t="n"/>
      <c r="B12" s="48" t="n"/>
      <c r="C12" s="48" t="n"/>
      <c r="D12" s="48" t="n"/>
      <c r="E12" s="48" t="n"/>
      <c r="F12" s="48" t="n"/>
    </row>
    <row r="14">
      <c r="A14" s="71" t="inlineStr">
        <is>
          <t>3. Renseigner les scénarios de risque (feuilles S1 à S10)</t>
        </is>
      </c>
    </row>
    <row r="15">
      <c r="A15" s="72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  <row r="18">
      <c r="A18" s="49" t="n"/>
    </row>
    <row r="19" ht="14" customHeight="1">
      <c r="A19" s="82" t="n"/>
    </row>
    <row r="20" ht="14" customHeight="1">
      <c r="A20" s="82" t="n"/>
    </row>
    <row r="21" ht="14" customHeight="1">
      <c r="A21" s="82" t="n"/>
    </row>
    <row r="22" ht="14" customHeight="1">
      <c r="A22" s="82" t="n"/>
    </row>
    <row r="23" ht="14" customHeight="1">
      <c r="A23" s="82" t="n"/>
    </row>
  </sheetData>
  <mergeCells count="1">
    <mergeCell ref="A1:E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pane ySplit="8" topLeftCell="A9" activePane="bottomLeft" state="frozen"/>
      <selection pane="bottomLeft"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7.5" customWidth="1" min="15" max="15"/>
    <col width="8.83203125" customWidth="1" min="16" max="16"/>
    <col width="7.5" customWidth="1" min="17" max="17"/>
    <col width="9" customWidth="1" min="18" max="18"/>
    <col width="9" customWidth="1" min="19" max="19"/>
    <col width="3.6640625" customWidth="1" min="20" max="20"/>
    <col width="54.5" customWidth="1" min="21" max="21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Control / 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  <c r="U11" s="170" t="inlineStr">
        <is>
          <t>6. Définir les mesures de mitigation (feuilles M1 à M10)</t>
        </is>
      </c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  <c r="U12" s="72" t="inlineStr">
        <is>
          <t>dans la colonne A Inclure Mesure</t>
        </is>
      </c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  <c r="U13" s="72" t="inlineStr">
        <is>
          <t xml:space="preserve">   0 ou vide = non sélectionné</t>
        </is>
      </c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  <c r="U14" s="72" t="inlineStr">
        <is>
          <t xml:space="preserve">   1 = Inclure ce contrôle dans les mesures de mitigation.</t>
        </is>
      </c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  <c r="U16" s="170" t="inlineStr">
        <is>
          <t>6. Define the risk mitigation measures (Sheets M1 to M10)</t>
        </is>
      </c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  <c r="U17" s="72" t="inlineStr">
        <is>
          <t>indicate the selected mitigation measures or controls in Column A</t>
        </is>
      </c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72" t="inlineStr">
        <is>
          <t xml:space="preserve">   0 or empty = not selected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 xml:space="preserve">   1 = include this control in the mitigation measures for the scenario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s="161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  <c r="U32" t="inlineStr">
        <is>
          <t>Catalogues: ISO/IEC 27002:2022 (93), NIST CSF 2.0 (106), CIS Controls v8.1 (18).</t>
        </is>
      </c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  <c r="U33" t="inlineStr">
        <is>
          <t>Default costs and coefficients are generic placeholders: recalibrate them.</t>
        </is>
      </c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Coûts et coefficients par défaut génériques : à recalibrer.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xl/worksheets/sheet4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G17"/>
  <sheetViews>
    <sheetView zoomScale="190" zoomScaleNormal="190" workbookViewId="0">
      <selection activeCell="B2" sqref="B2"/>
    </sheetView>
  </sheetViews>
  <sheetFormatPr baseColWidth="10" defaultRowHeight="13"/>
  <cols>
    <col width="53.83203125" customWidth="1" min="1" max="1"/>
    <col width="13.33203125" customWidth="1" min="2" max="2"/>
    <col width="2.33203125" customWidth="1" min="7" max="7"/>
  </cols>
  <sheetData>
    <row r="1" ht="18" customHeight="1">
      <c r="A1" s="166" t="inlineStr">
        <is>
          <t>Risk scenario number 2 / Scénario de risque 2</t>
        </is>
      </c>
      <c r="G1" s="48" t="n"/>
    </row>
    <row r="2">
      <c r="A2" s="49" t="inlineStr">
        <is>
          <t xml:space="preserve">Scenario number / Numéro : </t>
        </is>
      </c>
      <c r="B2" s="50" t="n">
        <v>2</v>
      </c>
      <c r="G2" s="48" t="n"/>
    </row>
    <row r="3" ht="16" customHeight="1">
      <c r="A3" s="49" t="inlineStr">
        <is>
          <t xml:space="preserve">Scenario name / Nom du scénario : </t>
        </is>
      </c>
      <c r="B3" s="107" t="n"/>
      <c r="G3" s="48" t="n"/>
    </row>
    <row r="4">
      <c r="A4" s="49" t="inlineStr">
        <is>
          <t>Date of creation / Date de création du scénario :</t>
        </is>
      </c>
      <c r="B4" s="84" t="n"/>
      <c r="G4" s="48" t="n"/>
    </row>
    <row r="5">
      <c r="A5" s="48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G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G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G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G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G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G11" s="48" t="n"/>
    </row>
    <row r="12">
      <c r="A12" s="48" t="n"/>
      <c r="B12" s="48" t="n"/>
      <c r="C12" s="48" t="n"/>
      <c r="D12" s="48" t="n"/>
      <c r="E12" s="48" t="n"/>
      <c r="F12" s="48" t="n"/>
      <c r="G12" s="48" t="n"/>
    </row>
    <row r="14">
      <c r="A14" t="inlineStr">
        <is>
          <t>3. Renseigner les scénarios de risque (feuilles S1 à S10)</t>
        </is>
      </c>
    </row>
    <row r="15">
      <c r="A15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</sheetData>
  <mergeCells count="1">
    <mergeCell ref="A1:F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5.6640625" customWidth="1" min="15" max="15"/>
    <col width="7" customWidth="1" min="16" max="16"/>
    <col width="7.5" customWidth="1" min="17" max="17"/>
    <col width="9" customWidth="1" min="18" max="18"/>
    <col width="9" customWidth="1" min="19" max="19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Control / 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  <c r="U12" s="170" t="inlineStr">
        <is>
          <t>4. Définir les mesures de mitigation (feuilles M1 à M10)</t>
        </is>
      </c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  <c r="U13" s="72" t="inlineStr">
        <is>
          <t>dans la colonne A Inclure Mesure</t>
        </is>
      </c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  <c r="U14" s="72" t="inlineStr">
        <is>
          <t xml:space="preserve">   0 ou vide = non sélectionné</t>
        </is>
      </c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  <c r="U15" s="72" t="inlineStr">
        <is>
          <t xml:space="preserve">   1 = Inclure ce contrôle dans les mesures de mitigation.</t>
        </is>
      </c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  <c r="U17" s="170" t="inlineStr">
        <is>
          <t>4. Define the risk mitigation measures (Sheets M1 to M10)</t>
        </is>
      </c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72" t="inlineStr">
        <is>
          <t>indicate the selected mitigation measures or controls in Column A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 xml:space="preserve">   0 or empty = not selected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  <c r="U20" s="72" t="inlineStr">
        <is>
          <t xml:space="preserve">   1 = include this control in the mitigation measures for the scenario</t>
        </is>
      </c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s="161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  <c r="U31" t="inlineStr">
        <is>
          <t>estimation globale du bouquet dans une ligne « Other / autre ».</t>
        </is>
      </c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  <c r="U33" t="inlineStr">
        <is>
          <t>Catalogues: ISO/IEC 27002:2022 (93), NIST CSF 2.0 (106), CIS Controls v8.1 (18).</t>
        </is>
      </c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Default costs and coefficients are generic placeholders: recalibrate them.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  <c r="U35" t="inlineStr">
        <is>
          <t>Coûts et coefficients par défaut génériques : à recalibrer.</t>
        </is>
      </c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xl/worksheets/sheet6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G17"/>
  <sheetViews>
    <sheetView zoomScale="190" zoomScaleNormal="190" workbookViewId="0">
      <selection activeCell="B2" sqref="B2"/>
    </sheetView>
  </sheetViews>
  <sheetFormatPr baseColWidth="10" defaultRowHeight="13"/>
  <cols>
    <col width="53.83203125" customWidth="1" min="1" max="1"/>
    <col width="13.33203125" customWidth="1" min="2" max="2"/>
    <col width="2.33203125" customWidth="1" min="7" max="7"/>
  </cols>
  <sheetData>
    <row r="1" ht="18" customHeight="1">
      <c r="A1" s="166" t="inlineStr">
        <is>
          <t>Risk scenario number 3 / Scénario de risque 3</t>
        </is>
      </c>
      <c r="G1" s="48" t="n"/>
    </row>
    <row r="2">
      <c r="A2" s="49" t="inlineStr">
        <is>
          <t xml:space="preserve">Scenario number / Numéro : </t>
        </is>
      </c>
      <c r="B2" s="50" t="n">
        <v>3</v>
      </c>
      <c r="G2" s="48" t="n"/>
    </row>
    <row r="3" ht="16" customHeight="1">
      <c r="A3" s="49" t="inlineStr">
        <is>
          <t xml:space="preserve">Scenario name / Nom du scénario : </t>
        </is>
      </c>
      <c r="B3" s="107" t="n"/>
      <c r="G3" s="48" t="n"/>
    </row>
    <row r="4">
      <c r="A4" s="49" t="inlineStr">
        <is>
          <t>Date of creation / Date de création du scénario :</t>
        </is>
      </c>
      <c r="B4" s="84" t="n"/>
      <c r="G4" s="48" t="n"/>
    </row>
    <row r="5">
      <c r="A5" s="83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G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G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G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G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G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G11" s="48" t="n"/>
    </row>
    <row r="12">
      <c r="A12" s="48" t="n"/>
      <c r="B12" s="48" t="n"/>
      <c r="C12" s="48" t="n"/>
      <c r="D12" s="48" t="n"/>
      <c r="E12" s="48" t="n"/>
      <c r="F12" s="48" t="n"/>
      <c r="G12" s="48" t="n"/>
    </row>
    <row r="14">
      <c r="A14" t="inlineStr">
        <is>
          <t>3. Renseigner les scénarios de risque (feuilles S1 à S10)</t>
        </is>
      </c>
    </row>
    <row r="15">
      <c r="A15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</sheetData>
  <mergeCells count="1">
    <mergeCell ref="A1:F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5.6640625" customWidth="1" min="15" max="15"/>
    <col width="7" customWidth="1" min="16" max="16"/>
    <col width="7.5" customWidth="1" min="17" max="17"/>
    <col width="9" customWidth="1" min="18" max="18"/>
    <col width="9" customWidth="1" min="19" max="19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Control / 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  <c r="U13" s="170" t="inlineStr">
        <is>
          <t>4. Définir les mesures de mitigation (feuilles M1 à M10)</t>
        </is>
      </c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  <c r="U14" s="72" t="inlineStr">
        <is>
          <t>dans la colonne A Inclure Mesure</t>
        </is>
      </c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  <c r="U15" s="72" t="inlineStr">
        <is>
          <t xml:space="preserve">   0 ou vide = non sélectionné</t>
        </is>
      </c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  <c r="U16" s="72" t="inlineStr">
        <is>
          <t>6. Define the risk mitigation measures (Sheets M1 to M10)</t>
        </is>
      </c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170" t="inlineStr">
        <is>
          <t>4. Define the risk mitigation measures (Sheets M1 to M10)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>indicate the selected mitigation measures or controls in Column A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  <c r="U20" s="72" t="inlineStr">
        <is>
          <t xml:space="preserve">   0 or empty = not selected</t>
        </is>
      </c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s="72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s="161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  <c r="U31" t="inlineStr">
        <is>
          <t>dépasse 1. Privilégier peu de mesures bien justifiées, ou saisir une</t>
        </is>
      </c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  <c r="U32" t="inlineStr">
        <is>
          <t>estimation globale du bouquet dans une ligne « Other / autre ».</t>
        </is>
      </c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Catalogues: ISO/IEC 27002:2022 (93), NIST CSF 2.0 (106), CIS Controls v8.1 (18).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  <c r="U35" t="inlineStr">
        <is>
          <t>Default costs and coefficients are generic placeholders: recalibrate them.</t>
        </is>
      </c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  <c r="U36" t="inlineStr">
        <is>
          <t>Coûts et coefficients par défaut génériques : à recalibrer.</t>
        </is>
      </c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xl/worksheets/sheet8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G17"/>
  <sheetViews>
    <sheetView zoomScale="160" zoomScaleNormal="160" workbookViewId="0">
      <selection activeCell="B2" sqref="B2"/>
    </sheetView>
  </sheetViews>
  <sheetFormatPr baseColWidth="10" defaultRowHeight="13"/>
  <cols>
    <col width="53.83203125" customWidth="1" min="1" max="1"/>
    <col width="13.33203125" customWidth="1" min="2" max="2"/>
    <col width="2.33203125" customWidth="1" min="7" max="7"/>
  </cols>
  <sheetData>
    <row r="1" ht="18" customHeight="1">
      <c r="A1" s="166" t="inlineStr">
        <is>
          <t>Risk scenario number 4 / Scénario de risque 4</t>
        </is>
      </c>
      <c r="G1" s="48" t="n"/>
    </row>
    <row r="2">
      <c r="A2" s="49" t="inlineStr">
        <is>
          <t xml:space="preserve">Scenario number / Numéro : </t>
        </is>
      </c>
      <c r="B2" s="50" t="n">
        <v>4</v>
      </c>
      <c r="G2" s="48" t="n"/>
    </row>
    <row r="3" ht="16" customHeight="1">
      <c r="A3" s="49" t="inlineStr">
        <is>
          <t xml:space="preserve">Scenario name / Nom du scénario : </t>
        </is>
      </c>
      <c r="B3" s="107" t="n"/>
      <c r="G3" s="48" t="n"/>
    </row>
    <row r="4">
      <c r="A4" s="49" t="inlineStr">
        <is>
          <t>Date of creation / Date de création du scénario :</t>
        </is>
      </c>
      <c r="B4" s="84" t="n"/>
      <c r="G4" s="48" t="n"/>
    </row>
    <row r="5">
      <c r="A5" s="48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G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G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G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G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G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G11" s="48" t="n"/>
    </row>
    <row r="12">
      <c r="A12" s="48" t="n"/>
      <c r="B12" s="48" t="n"/>
      <c r="C12" s="48" t="n"/>
      <c r="D12" s="48" t="n"/>
      <c r="E12" s="48" t="n"/>
      <c r="F12" s="48" t="n"/>
      <c r="G12" s="48" t="n"/>
    </row>
    <row r="14">
      <c r="A14" t="inlineStr">
        <is>
          <t>3. Renseigner les scénarios de risque (feuilles S1 à S10)</t>
        </is>
      </c>
    </row>
    <row r="15">
      <c r="A15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</sheetData>
  <mergeCells count="1">
    <mergeCell ref="A1:F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5.6640625" customWidth="1" min="15" max="15"/>
    <col width="7" customWidth="1" min="16" max="16"/>
    <col width="7.5" customWidth="1" min="17" max="17"/>
    <col width="9" customWidth="1" min="18" max="18"/>
    <col width="9" customWidth="1" min="19" max="19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Control / 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  <c r="U13" s="170" t="inlineStr">
        <is>
          <t>4. Définir les mesures de mitigation (feuilles M1 à M10)</t>
        </is>
      </c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  <c r="U14" s="72" t="inlineStr">
        <is>
          <t>dans la colonne A Inclure Mesure</t>
        </is>
      </c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  <c r="U15" s="72" t="inlineStr">
        <is>
          <t xml:space="preserve">   0 ou vide = non sélectionné</t>
        </is>
      </c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  <c r="U16" s="72" t="inlineStr">
        <is>
          <t>6. Define the risk mitigation measures (Sheets M1 to M10)</t>
        </is>
      </c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170" t="inlineStr">
        <is>
          <t>4. Define the risk mitigation measures (Sheets M1 to M10)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>indicate the selected mitigation measures or controls in Column A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  <c r="U20" s="72" t="inlineStr">
        <is>
          <t xml:space="preserve">   0 or empty = not selected</t>
        </is>
      </c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s="72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s="161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  <c r="U31" t="inlineStr">
        <is>
          <t>dépasse 1. Privilégier peu de mesures bien justifiées, ou saisir une</t>
        </is>
      </c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  <c r="U32" t="inlineStr">
        <is>
          <t>estimation globale du bouquet dans une ligne « Other / autre ».</t>
        </is>
      </c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Catalogues: ISO/IEC 27002:2022 (93), NIST CSF 2.0 (106), CIS Controls v8.1 (18).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  <c r="U35" t="inlineStr">
        <is>
          <t>Default costs and coefficients are generic placeholders: recalibrate them.</t>
        </is>
      </c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  <c r="U36" t="inlineStr">
        <is>
          <t>Coûts et coefficients par défaut génériques : à recalibrer.</t>
        </is>
      </c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xl/worksheets/sheet10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G17"/>
  <sheetViews>
    <sheetView zoomScale="170" zoomScaleNormal="170" workbookViewId="0">
      <selection activeCell="B2" sqref="B2"/>
    </sheetView>
  </sheetViews>
  <sheetFormatPr baseColWidth="10" defaultRowHeight="13"/>
  <cols>
    <col width="53.83203125" customWidth="1" min="1" max="1"/>
    <col width="13.33203125" customWidth="1" min="2" max="2"/>
    <col width="2.33203125" customWidth="1" min="7" max="7"/>
  </cols>
  <sheetData>
    <row r="1" ht="18" customHeight="1">
      <c r="A1" s="189" t="inlineStr">
        <is>
          <t>Risk scenario number 5 / Scénario de risque 5</t>
        </is>
      </c>
      <c r="G1" s="48" t="n"/>
    </row>
    <row r="2">
      <c r="A2" s="49" t="inlineStr">
        <is>
          <t xml:space="preserve">Scenario number / Numéro : </t>
        </is>
      </c>
      <c r="B2" s="50" t="n">
        <v>5</v>
      </c>
      <c r="G2" s="48" t="n"/>
    </row>
    <row r="3" ht="16" customHeight="1">
      <c r="A3" s="49" t="inlineStr">
        <is>
          <t xml:space="preserve">Scenario name / Nom du scénario : </t>
        </is>
      </c>
      <c r="B3" s="107" t="n"/>
      <c r="G3" s="48" t="n"/>
    </row>
    <row r="4">
      <c r="A4" s="49" t="inlineStr">
        <is>
          <t>Date of creation / Date de création du scénario :</t>
        </is>
      </c>
      <c r="B4" s="84" t="n"/>
      <c r="G4" s="48" t="n"/>
    </row>
    <row r="5">
      <c r="A5" s="48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G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G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G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G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G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G11" s="48" t="n"/>
    </row>
    <row r="12">
      <c r="A12" s="48" t="n"/>
      <c r="B12" s="48" t="n"/>
      <c r="C12" s="48" t="n"/>
      <c r="D12" s="48" t="n"/>
      <c r="E12" s="48" t="n"/>
      <c r="F12" s="48" t="n"/>
      <c r="G12" s="48" t="n"/>
    </row>
    <row r="14">
      <c r="A14" t="inlineStr">
        <is>
          <t>3. Renseigner les scénarios de risque (feuilles S1 à S10)</t>
        </is>
      </c>
    </row>
    <row r="15">
      <c r="A15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</sheetData>
  <mergeCells count="1">
    <mergeCell ref="A1:F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5.6640625" customWidth="1" min="15" max="15"/>
    <col width="7" customWidth="1" min="16" max="16"/>
    <col width="7.5" customWidth="1" min="17" max="17"/>
    <col width="9" customWidth="1" min="18" max="18"/>
    <col width="9" customWidth="1" min="19" max="19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Control / 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  <c r="U13" s="170" t="inlineStr">
        <is>
          <t>4. Définir les mesures de mitigation (feuilles M1 à M10)</t>
        </is>
      </c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  <c r="U14" s="72" t="inlineStr">
        <is>
          <t>dans la colonne A Inclure Mesure</t>
        </is>
      </c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  <c r="U15" s="72" t="inlineStr">
        <is>
          <t xml:space="preserve">   0 ou vide = non sélectionné</t>
        </is>
      </c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  <c r="U16" s="72" t="inlineStr">
        <is>
          <t>6. Define the risk mitigation measures (Sheets M1 to M10)</t>
        </is>
      </c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170" t="inlineStr">
        <is>
          <t>4. Define the risk mitigation measures (Sheets M1 to M10)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>indicate the selected mitigation measures or controls in Column A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  <c r="U20" s="72" t="inlineStr">
        <is>
          <t xml:space="preserve">   0 or empty = not selected</t>
        </is>
      </c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s="72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s="161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  <c r="U31" t="inlineStr">
        <is>
          <t>dépasse 1. Privilégier peu de mesures bien justifiées, ou saisir une</t>
        </is>
      </c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  <c r="U32" t="inlineStr">
        <is>
          <t>estimation globale du bouquet dans une ligne « Other / autre ».</t>
        </is>
      </c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Catalogues: ISO/IEC 27002:2022 (93), NIST CSF 2.0 (106), CIS Controls v8.1 (18).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  <c r="U35" t="inlineStr">
        <is>
          <t>Default costs and coefficients are generic placeholders: recalibrate them.</t>
        </is>
      </c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  <c r="U36" t="inlineStr">
        <is>
          <t>Coûts et coefficients par défaut génériques : à recalibrer.</t>
        </is>
      </c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xl/worksheets/sheet12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G17"/>
  <sheetViews>
    <sheetView workbookViewId="0">
      <selection activeCell="B2" sqref="B2"/>
    </sheetView>
  </sheetViews>
  <sheetFormatPr baseColWidth="10" defaultRowHeight="13"/>
  <cols>
    <col width="53.83203125" customWidth="1" min="1" max="1"/>
    <col width="13.33203125" customWidth="1" min="2" max="2"/>
    <col width="2.33203125" customWidth="1" min="7" max="7"/>
  </cols>
  <sheetData>
    <row r="1" ht="18" customHeight="1">
      <c r="A1" s="189" t="inlineStr">
        <is>
          <t>Risk scenario number 6 / Scénario de risque 6</t>
        </is>
      </c>
      <c r="G1" s="48" t="n"/>
    </row>
    <row r="2">
      <c r="A2" s="49" t="inlineStr">
        <is>
          <t xml:space="preserve">Scenario number / Numéro : </t>
        </is>
      </c>
      <c r="B2" s="50" t="n">
        <v>6</v>
      </c>
      <c r="G2" s="48" t="n"/>
    </row>
    <row r="3" ht="16" customHeight="1">
      <c r="A3" s="49" t="inlineStr">
        <is>
          <t xml:space="preserve">Scenario name / Nom du scénario : </t>
        </is>
      </c>
      <c r="B3" s="108" t="n"/>
      <c r="G3" s="48" t="n"/>
    </row>
    <row r="4">
      <c r="A4" s="49" t="inlineStr">
        <is>
          <t>Date of creation / Date de création du scénario :</t>
        </is>
      </c>
      <c r="B4" s="84" t="n"/>
      <c r="G4" s="48" t="n"/>
    </row>
    <row r="5">
      <c r="A5" s="48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G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G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G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G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G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G11" s="48" t="n"/>
    </row>
    <row r="12">
      <c r="A12" s="48" t="n"/>
      <c r="B12" s="48" t="n"/>
      <c r="C12" s="48" t="n"/>
      <c r="D12" s="48" t="n"/>
      <c r="E12" s="48" t="n"/>
      <c r="F12" s="48" t="n"/>
      <c r="G12" s="48" t="n"/>
    </row>
    <row r="14">
      <c r="A14" t="inlineStr">
        <is>
          <t>3. Renseigner les scénarios de risque (feuilles S1 à S10)</t>
        </is>
      </c>
    </row>
    <row r="15">
      <c r="A15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</sheetData>
  <mergeCells count="1">
    <mergeCell ref="A1:F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5.6640625" customWidth="1" min="15" max="15"/>
    <col width="7" customWidth="1" min="16" max="16"/>
    <col width="7.5" customWidth="1" min="17" max="17"/>
    <col width="9" customWidth="1" min="18" max="18"/>
    <col width="9" customWidth="1" min="19" max="19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Control / 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  <c r="U13" s="170" t="inlineStr">
        <is>
          <t>4. Définir les mesures de mitigation (feuilles M1 à M10)</t>
        </is>
      </c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  <c r="U14" s="72" t="inlineStr">
        <is>
          <t>dans la colonne A Inclure Mesure</t>
        </is>
      </c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  <c r="U15" s="72" t="inlineStr">
        <is>
          <t xml:space="preserve">   0 ou vide = non sélectionné</t>
        </is>
      </c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  <c r="U16" s="72" t="inlineStr">
        <is>
          <t>6. Define the risk mitigation measures (Sheets M1 to M10)</t>
        </is>
      </c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170" t="inlineStr">
        <is>
          <t>4. Define the risk mitigation measures (Sheets M1 to M10)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>indicate the selected mitigation measures or controls in Column A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  <c r="U20" s="72" t="inlineStr">
        <is>
          <t xml:space="preserve">   0 or empty = not selected</t>
        </is>
      </c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s="72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s="161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  <c r="U31" t="inlineStr">
        <is>
          <t>dépasse 1. Privilégier peu de mesures bien justifiées, ou saisir une</t>
        </is>
      </c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  <c r="U32" t="inlineStr">
        <is>
          <t>estimation globale du bouquet dans une ligne « Other / autre ».</t>
        </is>
      </c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Catalogues: ISO/IEC 27002:2022 (93), NIST CSF 2.0 (106), CIS Controls v8.1 (18).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  <c r="U35" t="inlineStr">
        <is>
          <t>Default costs and coefficients are generic placeholders: recalibrate them.</t>
        </is>
      </c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  <c r="U36" t="inlineStr">
        <is>
          <t>Coûts et coefficients par défaut génériques : à recalibrer.</t>
        </is>
      </c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xl/worksheets/sheet14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G17"/>
  <sheetViews>
    <sheetView workbookViewId="0">
      <selection activeCell="B2" sqref="B2"/>
    </sheetView>
  </sheetViews>
  <sheetFormatPr baseColWidth="10" defaultRowHeight="13"/>
  <cols>
    <col width="53.83203125" customWidth="1" min="1" max="1"/>
    <col width="13.33203125" customWidth="1" min="2" max="2"/>
    <col width="2.33203125" customWidth="1" min="7" max="7"/>
  </cols>
  <sheetData>
    <row r="1" ht="18" customHeight="1">
      <c r="A1" s="189" t="inlineStr">
        <is>
          <t>Risk scenario number 7 / Scénario de risque 7</t>
        </is>
      </c>
      <c r="G1" s="48" t="n"/>
    </row>
    <row r="2">
      <c r="A2" s="49" t="inlineStr">
        <is>
          <t xml:space="preserve">Scenario number / Numéro : </t>
        </is>
      </c>
      <c r="B2" s="50" t="n">
        <v>7</v>
      </c>
      <c r="G2" s="48" t="n"/>
    </row>
    <row r="3">
      <c r="A3" s="49" t="inlineStr">
        <is>
          <t xml:space="preserve">Scenario name / Nom du scénario : </t>
        </is>
      </c>
      <c r="B3" s="31" t="n"/>
      <c r="G3" s="48" t="n"/>
    </row>
    <row r="4">
      <c r="A4" s="49" t="inlineStr">
        <is>
          <t>Date of creation / Date de création du scénario :</t>
        </is>
      </c>
      <c r="B4" s="84" t="n"/>
      <c r="G4" s="48" t="n"/>
    </row>
    <row r="5">
      <c r="A5" s="48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G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G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G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G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G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G11" s="48" t="n"/>
    </row>
    <row r="12">
      <c r="A12" s="48" t="n"/>
      <c r="B12" s="48" t="n"/>
      <c r="C12" s="48" t="n"/>
      <c r="D12" s="48" t="n"/>
      <c r="E12" s="48" t="n"/>
      <c r="F12" s="48" t="n"/>
      <c r="G12" s="48" t="n"/>
    </row>
    <row r="14">
      <c r="A14" t="inlineStr">
        <is>
          <t>3. Renseigner les scénarios de risque (feuilles S1 à S10)</t>
        </is>
      </c>
    </row>
    <row r="15">
      <c r="A15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</sheetData>
  <mergeCells count="1">
    <mergeCell ref="A1:F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5.6640625" customWidth="1" min="15" max="15"/>
    <col width="7" customWidth="1" min="16" max="16"/>
    <col width="7.5" customWidth="1" min="17" max="17"/>
    <col width="9" customWidth="1" min="18" max="18"/>
    <col width="9" customWidth="1" min="19" max="19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Control / 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  <c r="U13" s="170" t="inlineStr">
        <is>
          <t>4. Définir les mesures de mitigation (feuilles M1 à M10)</t>
        </is>
      </c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  <c r="U14" s="72" t="inlineStr">
        <is>
          <t>dans la colonne A Inclure Mesure</t>
        </is>
      </c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  <c r="U15" s="72" t="inlineStr">
        <is>
          <t xml:space="preserve">   0 ou vide = non sélectionné</t>
        </is>
      </c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  <c r="U16" s="72" t="inlineStr">
        <is>
          <t>6. Define the risk mitigation measures (Sheets M1 to M10)</t>
        </is>
      </c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170" t="inlineStr">
        <is>
          <t>4. Define the risk mitigation measures (Sheets M1 to M10)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>indicate the selected mitigation measures or controls in Column A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  <c r="U20" s="72" t="inlineStr">
        <is>
          <t xml:space="preserve">   0 or empty = not selected</t>
        </is>
      </c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s="72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s="161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  <c r="U31" t="inlineStr">
        <is>
          <t>dépasse 1. Privilégier peu de mesures bien justifiées, ou saisir une</t>
        </is>
      </c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  <c r="U32" t="inlineStr">
        <is>
          <t>estimation globale du bouquet dans une ligne « Other / autre ».</t>
        </is>
      </c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Catalogues: ISO/IEC 27002:2022 (93), NIST CSF 2.0 (106), CIS Controls v8.1 (18).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  <c r="U35" t="inlineStr">
        <is>
          <t>Default costs and coefficients are generic placeholders: recalibrate them.</t>
        </is>
      </c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  <c r="U36" t="inlineStr">
        <is>
          <t>Coûts et coefficients par défaut génériques : à recalibrer.</t>
        </is>
      </c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xl/worksheets/sheet16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G17"/>
  <sheetViews>
    <sheetView workbookViewId="0">
      <selection activeCell="B2" sqref="B2"/>
    </sheetView>
  </sheetViews>
  <sheetFormatPr baseColWidth="10" defaultRowHeight="13"/>
  <cols>
    <col width="53.83203125" customWidth="1" min="1" max="1"/>
    <col width="13.33203125" customWidth="1" min="2" max="2"/>
    <col width="2.33203125" customWidth="1" min="7" max="7"/>
  </cols>
  <sheetData>
    <row r="1" ht="18" customHeight="1">
      <c r="A1" s="189" t="inlineStr">
        <is>
          <t>Risk scenario number 8 / Scénario de risque 8</t>
        </is>
      </c>
      <c r="G1" s="48" t="n"/>
    </row>
    <row r="2">
      <c r="A2" s="49" t="inlineStr">
        <is>
          <t xml:space="preserve">Scenario number / Numéro : </t>
        </is>
      </c>
      <c r="B2" s="50" t="n">
        <v>8</v>
      </c>
      <c r="G2" s="48" t="n"/>
    </row>
    <row r="3" ht="16" customHeight="1">
      <c r="A3" s="49" t="inlineStr">
        <is>
          <t xml:space="preserve">Scenario name / Nom du scénario : </t>
        </is>
      </c>
      <c r="B3" s="107" t="n"/>
      <c r="G3" s="48" t="n"/>
    </row>
    <row r="4">
      <c r="A4" s="49" t="inlineStr">
        <is>
          <t>Date of creation / Date de création du scénario :</t>
        </is>
      </c>
      <c r="B4" s="84" t="n"/>
      <c r="G4" s="48" t="n"/>
    </row>
    <row r="5">
      <c r="A5" s="48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G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G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G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G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G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G11" s="48" t="n"/>
    </row>
    <row r="12">
      <c r="A12" s="48" t="n"/>
      <c r="B12" s="48" t="n"/>
      <c r="C12" s="48" t="n"/>
      <c r="D12" s="48" t="n"/>
      <c r="E12" s="48" t="n"/>
      <c r="F12" s="48" t="n"/>
      <c r="G12" s="48" t="n"/>
    </row>
    <row r="14">
      <c r="A14" t="inlineStr">
        <is>
          <t>3. Renseigner les scénarios de risque (feuilles S1 à S10)</t>
        </is>
      </c>
    </row>
    <row r="15">
      <c r="A15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</sheetData>
  <mergeCells count="1">
    <mergeCell ref="A1:F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17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5.6640625" customWidth="1" min="15" max="15"/>
    <col width="7" customWidth="1" min="16" max="16"/>
    <col width="7.5" customWidth="1" min="17" max="17"/>
    <col width="9" customWidth="1" min="18" max="18"/>
    <col width="9" customWidth="1" min="19" max="19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Control / 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  <c r="U13" s="170" t="inlineStr">
        <is>
          <t>4. Définir les mesures de mitigation (feuilles M1 à M10)</t>
        </is>
      </c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  <c r="U14" s="72" t="inlineStr">
        <is>
          <t>dans la colonne A Inclure Mesure</t>
        </is>
      </c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  <c r="U15" s="72" t="inlineStr">
        <is>
          <t xml:space="preserve">   0 ou vide = non sélectionné</t>
        </is>
      </c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  <c r="U16" s="72" t="inlineStr">
        <is>
          <t>6. Define the risk mitigation measures (Sheets M1 to M10)</t>
        </is>
      </c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170" t="inlineStr">
        <is>
          <t>4. Define the risk mitigation measures (Sheets M1 to M10)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>indicate the selected mitigation measures or controls in Column A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  <c r="U20" s="72" t="inlineStr">
        <is>
          <t xml:space="preserve">   0 or empty = not selected</t>
        </is>
      </c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s="72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s="161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  <c r="U31" t="inlineStr">
        <is>
          <t>dépasse 1. Privilégier peu de mesures bien justifiées, ou saisir une</t>
        </is>
      </c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  <c r="U32" t="inlineStr">
        <is>
          <t>estimation globale du bouquet dans une ligne « Other / autre ».</t>
        </is>
      </c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Catalogues: ISO/IEC 27002:2022 (93), NIST CSF 2.0 (106), CIS Controls v8.1 (18).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  <c r="U35" t="inlineStr">
        <is>
          <t>Default costs and coefficients are generic placeholders: recalibrate them.</t>
        </is>
      </c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  <c r="U36" t="inlineStr">
        <is>
          <t>Coûts et coefficients par défaut génériques : à recalibrer.</t>
        </is>
      </c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xl/worksheets/sheet18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G17"/>
  <sheetViews>
    <sheetView workbookViewId="0">
      <selection activeCell="B2" sqref="B2"/>
    </sheetView>
  </sheetViews>
  <sheetFormatPr baseColWidth="10" defaultRowHeight="13"/>
  <cols>
    <col width="53.83203125" customWidth="1" min="1" max="1"/>
    <col width="13.33203125" customWidth="1" min="2" max="2"/>
    <col width="2.33203125" customWidth="1" min="7" max="7"/>
  </cols>
  <sheetData>
    <row r="1" ht="18" customHeight="1">
      <c r="A1" s="189" t="inlineStr">
        <is>
          <t>Risk scenario number 9 / Scénario de risque 9</t>
        </is>
      </c>
      <c r="G1" s="48" t="n"/>
    </row>
    <row r="2">
      <c r="A2" s="49" t="inlineStr">
        <is>
          <t xml:space="preserve">Scenario number / Numéro : </t>
        </is>
      </c>
      <c r="B2" s="50" t="n">
        <v>9</v>
      </c>
      <c r="G2" s="48" t="n"/>
    </row>
    <row r="3" ht="16" customHeight="1">
      <c r="A3" s="49" t="inlineStr">
        <is>
          <t xml:space="preserve">Scenario name / Nom du scénario : </t>
        </is>
      </c>
      <c r="B3" s="107" t="n"/>
      <c r="G3" s="48" t="n"/>
    </row>
    <row r="4">
      <c r="A4" s="49" t="inlineStr">
        <is>
          <t>Date of creation / Date de création du scénario :</t>
        </is>
      </c>
      <c r="B4" s="84" t="n"/>
      <c r="G4" s="48" t="n"/>
    </row>
    <row r="5">
      <c r="A5" s="48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G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G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G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G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G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G11" s="48" t="n"/>
    </row>
    <row r="12">
      <c r="A12" s="48" t="n"/>
      <c r="B12" s="48" t="n"/>
      <c r="C12" s="48" t="n"/>
      <c r="D12" s="48" t="n"/>
      <c r="E12" s="48" t="n"/>
      <c r="F12" s="48" t="n"/>
      <c r="G12" s="48" t="n"/>
    </row>
    <row r="14">
      <c r="A14" t="inlineStr">
        <is>
          <t>3. Renseigner les scénarios de risque (feuilles S1 à S10)</t>
        </is>
      </c>
    </row>
    <row r="15">
      <c r="A15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</sheetData>
  <mergeCells count="1">
    <mergeCell ref="A1:F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19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5.6640625" customWidth="1" min="15" max="15"/>
    <col width="7" customWidth="1" min="16" max="16"/>
    <col width="7.5" customWidth="1" min="17" max="17"/>
    <col width="9" customWidth="1" min="18" max="18"/>
    <col width="9" customWidth="1" min="19" max="19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Control / 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  <c r="U17" s="170" t="inlineStr">
        <is>
          <t>4. Définir les mesures de mitigation (feuilles M1 à M10)</t>
        </is>
      </c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72" t="inlineStr">
        <is>
          <t>dans la colonne A Inclure Mesure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 xml:space="preserve">   0 ou vide = non sélectionné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  <c r="U20" s="72" t="inlineStr">
        <is>
          <t xml:space="preserve">   1 = Inclure ce contrôle dans les mesures de mitigation.</t>
        </is>
      </c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s="170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s="72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s="72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s="72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s="161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  <c r="U31" t="inlineStr">
        <is>
          <t>Prefer a few well-justified controls, or enter ONE package-level</t>
        </is>
      </c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  <c r="U32" t="inlineStr">
        <is>
          <t>estimate (cost, impact and Pb reduction) in an 'Other' row (rows 2-6).</t>
        </is>
      </c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  <c r="U33" t="inlineStr">
        <is>
          <t>Les coefficients retenus sont additionnés par colonne; la valeur</t>
        </is>
      </c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retenue est MIN(1, somme). Un avertissement s'affiche si la somme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  <c r="U35" t="inlineStr">
        <is>
          <t>dépasse 1. Privilégier peu de mesures bien justifiées, ou saisir une</t>
        </is>
      </c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  <c r="U36" t="inlineStr">
        <is>
          <t>estimation globale du bouquet dans une ligne « Other / autre ».</t>
        </is>
      </c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  <c r="U38" t="inlineStr">
        <is>
          <t>Catalogues: ISO/IEC 27002:2022 (93), NIST CSF 2.0 (106), CIS Controls v8.1 (18).</t>
        </is>
      </c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  <c r="U39" t="inlineStr">
        <is>
          <t>Default costs and coefficients are generic placeholders: recalibrate them.</t>
        </is>
      </c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  <c r="U40" t="inlineStr">
        <is>
          <t>Coûts et coefficients par défaut génériques : à recalibrer.</t>
        </is>
      </c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xl/worksheets/sheet20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G17"/>
  <sheetViews>
    <sheetView workbookViewId="0">
      <selection activeCell="B2" sqref="B2"/>
    </sheetView>
  </sheetViews>
  <sheetFormatPr baseColWidth="10" defaultRowHeight="13"/>
  <cols>
    <col width="53.83203125" customWidth="1" min="1" max="1"/>
    <col width="13.33203125" customWidth="1" min="2" max="2"/>
    <col width="2.33203125" customWidth="1" min="7" max="7"/>
  </cols>
  <sheetData>
    <row r="1" ht="18" customHeight="1">
      <c r="A1" s="189" t="inlineStr">
        <is>
          <t>Risk scenario number 10 / Scénario de risque 10</t>
        </is>
      </c>
      <c r="G1" s="48" t="n"/>
    </row>
    <row r="2">
      <c r="A2" s="49" t="inlineStr">
        <is>
          <t xml:space="preserve">Scenario number / Numéro : </t>
        </is>
      </c>
      <c r="B2" s="50" t="n">
        <v>10</v>
      </c>
      <c r="G2" s="48" t="n"/>
    </row>
    <row r="3" ht="16" customHeight="1">
      <c r="A3" s="49" t="inlineStr">
        <is>
          <t xml:space="preserve">Scenario name / Nom du scénario : </t>
        </is>
      </c>
      <c r="B3" s="107" t="n"/>
      <c r="G3" s="48" t="n"/>
    </row>
    <row r="4">
      <c r="A4" s="49" t="inlineStr">
        <is>
          <t>Date of creation / Date de création du scénario :</t>
        </is>
      </c>
      <c r="B4" s="84" t="n"/>
      <c r="G4" s="48" t="n"/>
    </row>
    <row r="5">
      <c r="A5" s="48" t="n"/>
      <c r="B5" s="48" t="n"/>
      <c r="C5" s="48" t="n"/>
      <c r="D5" s="48" t="n"/>
      <c r="E5" s="48" t="n"/>
      <c r="F5" s="48" t="n"/>
      <c r="G5" s="48" t="n"/>
    </row>
    <row r="6" ht="16" customHeight="1">
      <c r="A6" s="49" t="inlineStr">
        <is>
          <t>Probability that the threat will be present = Probabilité de réalisation : Pb(A)</t>
        </is>
      </c>
      <c r="B6" s="87" t="n"/>
      <c r="C6" s="31" t="n"/>
      <c r="G6" s="48" t="n"/>
    </row>
    <row r="7" ht="16" customHeight="1">
      <c r="A7" s="49" t="inlineStr">
        <is>
          <t>Probability of exploitation = Probabilité d’exploitation: Pb(ψ,A)</t>
        </is>
      </c>
      <c r="B7" s="87" t="n"/>
      <c r="C7" s="31" t="n"/>
      <c r="G7" s="48" t="n"/>
    </row>
    <row r="8" ht="16" customHeight="1">
      <c r="A8" s="49" t="inlineStr">
        <is>
          <t>Estimated expected damages = Dommage estimé: δe(ψ,A)</t>
        </is>
      </c>
      <c r="B8" s="87" t="n"/>
      <c r="C8" s="31" t="n"/>
      <c r="G8" s="48" t="n"/>
    </row>
    <row r="9" ht="16" customHeight="1">
      <c r="A9" s="49" t="inlineStr">
        <is>
          <t>Maximal damages = Dommage maximal: δm(ψ,A)</t>
        </is>
      </c>
      <c r="B9" s="87" t="n"/>
      <c r="C9" s="151">
        <f>IF(AND(ISNUMBER(B8),ISNUMBER(B9),B9&lt;B8),"δm should be ≥ δe / δm devrait être ≥ δe","")</f>
        <v/>
      </c>
      <c r="G9" s="48" t="n"/>
    </row>
    <row r="10" ht="16" customHeight="1">
      <c r="A10" s="49" t="inlineStr">
        <is>
          <t>Level of organizational resilience = Niveau de résilience: θ(ψ,A)</t>
        </is>
      </c>
      <c r="B10" s="87" t="n"/>
      <c r="C10" s="151">
        <f>IF(AND(B10&lt;&gt;"",OR(NOT(ISNUMBER(B10)),B10&lt;=0,B10&gt;1)),"θ must be in (0, 1] / θ doit être dans ]0, 1]","")</f>
        <v/>
      </c>
      <c r="G10" s="48" t="n"/>
    </row>
    <row r="11" ht="16" customHeight="1">
      <c r="A11" s="49" t="inlineStr">
        <is>
          <t>Organizational criticality (expected utility) = Criticité organisationnelle (utilité espérée) : μ(E)</t>
        </is>
      </c>
      <c r="B11" s="87" t="n"/>
      <c r="C11" s="31" t="n"/>
      <c r="G11" s="48" t="n"/>
    </row>
    <row r="12">
      <c r="A12" s="48" t="n"/>
      <c r="B12" s="48" t="n"/>
      <c r="C12" s="48" t="n"/>
      <c r="D12" s="48" t="n"/>
      <c r="E12" s="48" t="n"/>
      <c r="F12" s="48" t="n"/>
      <c r="G12" s="48" t="n"/>
    </row>
    <row r="14">
      <c r="A14" t="inlineStr">
        <is>
          <t>3. Renseigner les scénarios de risque (feuilles S1 à S10)</t>
        </is>
      </c>
    </row>
    <row r="15">
      <c r="A15" t="inlineStr">
        <is>
          <t>3. Populate the risk scenarios (Sheets S1 to S10)</t>
        </is>
      </c>
    </row>
    <row r="16">
      <c r="A16" s="165" t="inlineStr">
        <is>
          <t>Values 0-1; θ &gt; 0 and ≤ 1; δm ≥ δe. Horizon: 12 months. Each value: rationale, evidence (E-number), confidence — Analytical estimate — validation required.</t>
        </is>
      </c>
    </row>
    <row r="17">
      <c r="A17" s="165" t="inlineStr">
        <is>
          <t>Valeurs 0-1; θ &gt; 0 et ≤ 1; δm ≥ δe. Horizon : 12 mois. Chaque valeur : justification, preuve (n° E), confiance — Estimation analytique — validation requise.</t>
        </is>
      </c>
    </row>
  </sheetData>
  <mergeCells count="1">
    <mergeCell ref="A1:F1"/>
  </mergeCells>
  <dataValidations count="2">
    <dataValidation sqref="B6:B9 B11" showDropDown="0" showInputMessage="1" showErrorMessage="1" allowBlank="1" errorTitle="Value 0-1 / Valeur 0-1" error="Probabilities, damages and criticality must be between 0 and 1. / Valeur entre 0 et 1." promptTitle="0 - 1" prompt="Enter a value between 0 and 1 (two decimals). Mark it: Analytical estimate - validation required." type="decimal" operator="between">
      <formula1>0</formula1>
      <formula2>1</formula2>
    </dataValidation>
    <dataValidation sqref="B10" showDropDown="0" showInputMessage="1" showErrorMessage="1" allowBlank="1" errorTitle="Resilience θ / Résilience θ" error="θ must be greater than 0 and at most 1 (it divides the risk). / θ doit être &gt; 0 et ≤ 1." promptTitle="θ in (0, 1]" prompt="Resilience: &gt; 0 and ≤ 1 (higher = stronger). / Résilience : &gt; 0 et ≤ 1." type="custom">
      <formula1>AND(ISNUMBER(B10),B10&gt;0,B10&lt;=1)</formula1>
    </dataValidation>
  </dataValidations>
  <pageMargins left="0.7" right="0.7" top="0.75" bottom="0.75" header="0.3" footer="0.3"/>
  <pageSetup orientation="portrait" horizontalDpi="0" verticalDpi="0"/>
</worksheet>
</file>

<file path=xl/worksheets/sheet21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U484"/>
  <sheetViews>
    <sheetView zoomScale="110" zoomScaleNormal="110" workbookViewId="0">
      <selection activeCell="N2" sqref="N2:Q6"/>
    </sheetView>
  </sheetViews>
  <sheetFormatPr baseColWidth="10" defaultColWidth="14.5" defaultRowHeight="12.75" customHeight="1"/>
  <cols>
    <col width="1.83203125" customWidth="1" min="2" max="2"/>
    <col width="57.5" customWidth="1" min="3" max="3"/>
    <col width="18" bestFit="1" customWidth="1" min="4" max="4"/>
    <col hidden="1" width="0.83203125" customWidth="1" min="5" max="5"/>
    <col width="11.33203125" customWidth="1" min="6" max="7"/>
    <col width="13.6640625" customWidth="1" min="8" max="8"/>
    <col width="12.83203125" bestFit="1" customWidth="1" min="9" max="9"/>
    <col width="5" bestFit="1" customWidth="1" min="10" max="10"/>
    <col width="14.83203125" bestFit="1" customWidth="1" min="11" max="11"/>
    <col width="15.33203125" bestFit="1" customWidth="1" min="12" max="12"/>
    <col width="1.83203125" customWidth="1" min="13" max="13"/>
    <col width="9.33203125" customWidth="1" min="14" max="14"/>
    <col width="5.6640625" customWidth="1" min="15" max="15"/>
    <col width="7" customWidth="1" min="16" max="16"/>
    <col width="7.5" customWidth="1" min="17" max="17"/>
    <col width="9" customWidth="1" min="18" max="18"/>
    <col width="9" customWidth="1" min="19" max="19"/>
  </cols>
  <sheetData>
    <row r="1" ht="12.75" customHeight="1" thickBot="1">
      <c r="A1" s="106" t="inlineStr">
        <is>
          <t>Other / autre</t>
        </is>
      </c>
      <c r="B1" s="106" t="n"/>
      <c r="C1" s="106" t="inlineStr">
        <is>
          <t>Proposed risk mitigation measure / mesure de mitigation des risques proposés</t>
        </is>
      </c>
      <c r="D1" s="100" t="inlineStr">
        <is>
          <t>Source</t>
        </is>
      </c>
      <c r="E1" s="101" t="n"/>
      <c r="F1" s="102" t="inlineStr">
        <is>
          <t>Immobilisations</t>
        </is>
      </c>
      <c r="G1" s="102" t="inlineStr">
        <is>
          <t>Logiciels</t>
        </is>
      </c>
      <c r="H1" s="102" t="inlineStr">
        <is>
          <t>Mise en œuvre</t>
        </is>
      </c>
      <c r="I1" s="102" t="inlineStr">
        <is>
          <t>Exploitation</t>
        </is>
      </c>
      <c r="J1" s="103" t="inlineStr">
        <is>
          <t>ÉTC</t>
        </is>
      </c>
      <c r="K1" s="100" t="inlineStr">
        <is>
          <t>Réduc impacts</t>
        </is>
      </c>
      <c r="L1" s="104" t="inlineStr">
        <is>
          <t>Réduction Pb</t>
        </is>
      </c>
      <c r="M1" s="42" t="n"/>
      <c r="N1" s="105" t="inlineStr">
        <is>
          <t>Coût</t>
        </is>
      </c>
      <c r="O1" s="105" t="inlineStr">
        <is>
          <t>ETC</t>
        </is>
      </c>
      <c r="P1" s="105" t="inlineStr">
        <is>
          <t>Impact</t>
        </is>
      </c>
      <c r="Q1" s="105" t="inlineStr">
        <is>
          <t>Pb</t>
        </is>
      </c>
      <c r="R1" s="105" t="inlineStr">
        <is>
          <t>1 − impact</t>
        </is>
      </c>
      <c r="S1" s="105" t="inlineStr">
        <is>
          <t>1 − Pb</t>
        </is>
      </c>
    </row>
    <row r="2" ht="12.75" customHeight="1" thickBot="1">
      <c r="B2" s="44" t="n"/>
      <c r="C2" s="31" t="n"/>
      <c r="M2" s="42" t="n"/>
      <c r="N2">
        <f>A2*((SUM(F2:I2))+(J2*1950*80))</f>
        <v/>
      </c>
      <c r="O2">
        <f>A2*J2</f>
        <v/>
      </c>
      <c r="P2">
        <f>A2*K2</f>
        <v/>
      </c>
      <c r="Q2">
        <f>A2*L2</f>
        <v/>
      </c>
      <c r="R2">
        <f>1-P2</f>
        <v/>
      </c>
      <c r="S2">
        <f>1-Q2</f>
        <v/>
      </c>
    </row>
    <row r="3" ht="12.75" customHeight="1" thickBot="1">
      <c r="A3" s="31" t="n"/>
      <c r="B3" s="44" t="n"/>
      <c r="C3" s="31" t="n"/>
      <c r="M3" s="42" t="n"/>
      <c r="N3">
        <f>A3*((SUM(F3:I3))+(J3*1950*80))</f>
        <v/>
      </c>
      <c r="O3">
        <f>A3*J3</f>
        <v/>
      </c>
      <c r="P3">
        <f>A3*K3</f>
        <v/>
      </c>
      <c r="Q3">
        <f>A3*L3</f>
        <v/>
      </c>
      <c r="R3">
        <f>1-P3</f>
        <v/>
      </c>
      <c r="S3">
        <f>1-Q3</f>
        <v/>
      </c>
    </row>
    <row r="4" ht="12.75" customHeight="1" thickBot="1">
      <c r="B4" s="44" t="n"/>
      <c r="C4" s="31" t="n"/>
      <c r="M4" s="42" t="n"/>
      <c r="N4">
        <f>A4*((SUM(F4:I4))+(J4*1950*80))</f>
        <v/>
      </c>
      <c r="O4">
        <f>A4*J4</f>
        <v/>
      </c>
      <c r="P4">
        <f>A4*K4</f>
        <v/>
      </c>
      <c r="Q4">
        <f>A4*L4</f>
        <v/>
      </c>
      <c r="R4">
        <f>1-P4</f>
        <v/>
      </c>
      <c r="S4">
        <f>1-Q4</f>
        <v/>
      </c>
    </row>
    <row r="5" ht="12.75" customHeight="1" thickBot="1">
      <c r="B5" s="44" t="n"/>
      <c r="C5" s="31" t="n"/>
      <c r="M5" s="42" t="n"/>
      <c r="N5">
        <f>A5*((SUM(F5:I5))+(J5*1950*80))</f>
        <v/>
      </c>
      <c r="O5">
        <f>A5*J5</f>
        <v/>
      </c>
      <c r="P5">
        <f>A5*K5</f>
        <v/>
      </c>
      <c r="Q5">
        <f>A5*L5</f>
        <v/>
      </c>
      <c r="R5">
        <f>1-P5</f>
        <v/>
      </c>
      <c r="S5">
        <f>1-Q5</f>
        <v/>
      </c>
    </row>
    <row r="6" ht="12.75" customHeight="1" thickBot="1">
      <c r="B6" s="44" t="n"/>
      <c r="C6" s="31" t="n"/>
      <c r="M6" s="42" t="n"/>
      <c r="N6">
        <f>A6*((SUM(F6:I6))+(J6*1950*80))</f>
        <v/>
      </c>
      <c r="O6">
        <f>A6*J6</f>
        <v/>
      </c>
      <c r="P6">
        <f>A6*K6</f>
        <v/>
      </c>
      <c r="Q6">
        <f>A6*L6</f>
        <v/>
      </c>
      <c r="R6">
        <f>1-P6</f>
        <v/>
      </c>
      <c r="S6">
        <f>1-Q6</f>
        <v/>
      </c>
    </row>
    <row r="7" ht="12.75" customHeight="1" thickBot="1">
      <c r="B7" s="44" t="n"/>
      <c r="M7" s="42" t="n"/>
      <c r="N7" s="46">
        <f>SUM(N2:N6)</f>
        <v/>
      </c>
      <c r="O7" s="46">
        <f>SUM(O2:O6)</f>
        <v/>
      </c>
      <c r="P7" s="46">
        <f>1-PRODUCT(R2:R6)</f>
        <v/>
      </c>
      <c r="Q7" s="46">
        <f>1-PRODUCT(S2:S6)</f>
        <v/>
      </c>
      <c r="R7" s="44" t="n"/>
    </row>
    <row r="8" ht="15" customHeight="1" thickBot="1">
      <c r="A8" s="16" t="inlineStr">
        <is>
          <t>Include</t>
        </is>
      </c>
      <c r="B8" s="42" t="n"/>
      <c r="C8" s="16" t="inlineStr">
        <is>
          <t>Contrôle</t>
        </is>
      </c>
      <c r="D8" s="17" t="inlineStr">
        <is>
          <t>Source</t>
        </is>
      </c>
      <c r="E8" s="18" t="n"/>
      <c r="F8" s="23" t="inlineStr">
        <is>
          <t>Immobilisations</t>
        </is>
      </c>
      <c r="G8" s="23" t="inlineStr">
        <is>
          <t>Logiciels</t>
        </is>
      </c>
      <c r="H8" s="23" t="inlineStr">
        <is>
          <t>Mise en œuvre</t>
        </is>
      </c>
      <c r="I8" s="23" t="inlineStr">
        <is>
          <t>Exploitation</t>
        </is>
      </c>
      <c r="J8" s="24" t="inlineStr">
        <is>
          <t>ÉTC</t>
        </is>
      </c>
      <c r="K8" s="17" t="inlineStr">
        <is>
          <t>Réduc impacts</t>
        </is>
      </c>
      <c r="L8" s="20" t="inlineStr">
        <is>
          <t>Réduction Pb</t>
        </is>
      </c>
      <c r="M8" s="42" t="n"/>
      <c r="N8" s="86" t="inlineStr">
        <is>
          <t>Coût</t>
        </is>
      </c>
      <c r="O8" s="86" t="inlineStr">
        <is>
          <t>ETC</t>
        </is>
      </c>
      <c r="P8" s="86" t="inlineStr">
        <is>
          <t>Impact</t>
        </is>
      </c>
      <c r="Q8" s="86" t="inlineStr">
        <is>
          <t>Pb</t>
        </is>
      </c>
      <c r="R8" s="105" t="inlineStr">
        <is>
          <t>1 − impact</t>
        </is>
      </c>
      <c r="S8" s="105" t="inlineStr">
        <is>
          <t>1 − Pb</t>
        </is>
      </c>
    </row>
    <row r="9" ht="15" customHeight="1" thickBot="1">
      <c r="A9" s="41" t="inlineStr">
        <is>
          <t>Inclure</t>
        </is>
      </c>
      <c r="B9" s="43" t="n"/>
      <c r="C9" s="21" t="inlineStr">
        <is>
          <t>ISO/IEC 27002:2022 — information security controls (93) / mesures de sécurité de l'information</t>
        </is>
      </c>
      <c r="D9" s="22" t="n"/>
      <c r="E9" s="22" t="n"/>
      <c r="F9" s="23" t="inlineStr">
        <is>
          <t>CAPEX</t>
        </is>
      </c>
      <c r="G9" s="23" t="inlineStr">
        <is>
          <t>Software</t>
        </is>
      </c>
      <c r="H9" s="23" t="inlineStr">
        <is>
          <t>Implementation</t>
        </is>
      </c>
      <c r="I9" s="23" t="inlineStr">
        <is>
          <t>Exploitation</t>
        </is>
      </c>
      <c r="J9" s="24" t="inlineStr">
        <is>
          <t>FTE</t>
        </is>
      </c>
      <c r="K9" s="25" t="inlineStr">
        <is>
          <t>Reduce impacts</t>
        </is>
      </c>
      <c r="L9" s="26" t="inlineStr">
        <is>
          <t>Reduce Pb</t>
        </is>
      </c>
      <c r="M9" s="43" t="n"/>
      <c r="N9" s="17" t="inlineStr">
        <is>
          <t>Cost</t>
        </is>
      </c>
      <c r="O9" s="17" t="inlineStr">
        <is>
          <t>FTE</t>
        </is>
      </c>
      <c r="P9" s="17" t="inlineStr">
        <is>
          <t>Impact</t>
        </is>
      </c>
      <c r="Q9" s="20" t="inlineStr">
        <is>
          <t>Pb</t>
        </is>
      </c>
      <c r="R9" s="43" t="n"/>
    </row>
    <row r="10" ht="15" customHeight="1">
      <c r="A10" s="167" t="n"/>
      <c r="B10" s="167" t="n"/>
      <c r="C10" s="168" t="inlineStr">
        <is>
          <t>5 Organizational controls / Mesures organisationnelles</t>
        </is>
      </c>
      <c r="D10" s="22" t="n"/>
      <c r="E10" s="22" t="n"/>
      <c r="F10" s="22" t="n"/>
      <c r="G10" s="22" t="n"/>
      <c r="H10" s="22" t="n"/>
      <c r="I10" s="22" t="n"/>
      <c r="J10" s="27" t="n"/>
      <c r="K10" s="22" t="n"/>
      <c r="L10" s="28" t="n"/>
      <c r="M10" s="167" t="n"/>
      <c r="N10" s="167" t="n"/>
      <c r="O10" s="167" t="n"/>
      <c r="P10" s="167" t="n"/>
      <c r="Q10" s="167" t="n"/>
      <c r="R10" s="167" t="n"/>
      <c r="S10" s="169" t="n"/>
      <c r="T10" s="169" t="n"/>
    </row>
    <row r="11" ht="15" customHeight="1">
      <c r="A11" s="169" t="n"/>
      <c r="B11" s="167" t="n"/>
      <c r="C11" s="14" t="inlineStr">
        <is>
          <t>5.1 Policies for information security</t>
        </is>
      </c>
      <c r="D11" s="11" t="inlineStr">
        <is>
          <t>ISO/IEC 27002:2022</t>
        </is>
      </c>
      <c r="E11" s="11" t="n">
        <v>1</v>
      </c>
      <c r="F11" s="15" t="n"/>
      <c r="G11" s="15" t="n"/>
      <c r="H11" s="11" t="n">
        <v>25000</v>
      </c>
      <c r="I11" s="15" t="n">
        <v>3000</v>
      </c>
      <c r="J11" s="12" t="n">
        <v>0.01</v>
      </c>
      <c r="K11" s="11" t="n">
        <v>0.06</v>
      </c>
      <c r="L11" s="13" t="n">
        <v>0.06</v>
      </c>
      <c r="M11" s="167" t="n"/>
      <c r="N11" s="169">
        <f>A11*((SUM(F11:I11))+(J11*1950*80))</f>
        <v/>
      </c>
      <c r="O11" s="169">
        <f>A11*J11</f>
        <v/>
      </c>
      <c r="P11" s="169">
        <f>A11*K11</f>
        <v/>
      </c>
      <c r="Q11" s="169">
        <f>A11*L11</f>
        <v/>
      </c>
      <c r="R11" s="169">
        <f>1-P11</f>
        <v/>
      </c>
      <c r="S11" s="169">
        <f>1-Q11</f>
        <v/>
      </c>
      <c r="T11" s="169" t="n"/>
    </row>
    <row r="12" ht="15" customHeight="1" thickBot="1">
      <c r="A12" s="169" t="n"/>
      <c r="B12" s="167" t="n"/>
      <c r="C12" s="14" t="inlineStr">
        <is>
          <t>5.2 Information security roles and responsibilities</t>
        </is>
      </c>
      <c r="D12" s="11" t="inlineStr">
        <is>
          <t>ISO/IEC 27002:2022</t>
        </is>
      </c>
      <c r="E12" s="11" t="n">
        <v>2</v>
      </c>
      <c r="F12" s="15" t="n"/>
      <c r="G12" s="15" t="n"/>
      <c r="H12" s="11" t="n">
        <v>5000</v>
      </c>
      <c r="I12" s="15" t="n">
        <v>500</v>
      </c>
      <c r="J12" s="12" t="n">
        <v>0.01</v>
      </c>
      <c r="K12" s="11" t="n">
        <v>0.01</v>
      </c>
      <c r="L12" s="13" t="n">
        <v>0.01</v>
      </c>
      <c r="M12" s="167" t="n"/>
      <c r="N12" s="169">
        <f>A12*((SUM(F12:I12))+(J12*1950*80))</f>
        <v/>
      </c>
      <c r="O12" s="169">
        <f>A12*J12</f>
        <v/>
      </c>
      <c r="P12" s="169">
        <f>A12*K12</f>
        <v/>
      </c>
      <c r="Q12" s="169">
        <f>A12*L12</f>
        <v/>
      </c>
      <c r="R12" s="169">
        <f>1-P12</f>
        <v/>
      </c>
      <c r="S12" s="169">
        <f>1-Q12</f>
        <v/>
      </c>
      <c r="T12" s="169" t="n"/>
      <c r="U12" s="170" t="inlineStr">
        <is>
          <t>4. Définir les mesures de mitigation (feuilles M1 à M10)</t>
        </is>
      </c>
    </row>
    <row r="13" ht="15" customHeight="1" thickBot="1">
      <c r="A13" s="169" t="n"/>
      <c r="B13" s="167" t="n"/>
      <c r="C13" s="14" t="inlineStr">
        <is>
          <t>5.3 Segregation of duties</t>
        </is>
      </c>
      <c r="D13" s="11" t="inlineStr">
        <is>
          <t>ISO/IEC 27002:2022</t>
        </is>
      </c>
      <c r="E13" s="11" t="n">
        <v>3</v>
      </c>
      <c r="F13" s="15" t="n"/>
      <c r="G13" s="15" t="n"/>
      <c r="H13" s="11" t="n">
        <v>5000</v>
      </c>
      <c r="I13" s="15" t="n">
        <v>500</v>
      </c>
      <c r="J13" s="12" t="n">
        <v>0.01</v>
      </c>
      <c r="K13" s="11" t="n">
        <v>0.01</v>
      </c>
      <c r="L13" s="13" t="n">
        <v>0.01</v>
      </c>
      <c r="M13" s="167" t="n"/>
      <c r="N13" s="169">
        <f>A13*((SUM(F13:I13))+(J13*1950*80))</f>
        <v/>
      </c>
      <c r="O13" s="169">
        <f>A13*J13</f>
        <v/>
      </c>
      <c r="P13" s="169">
        <f>A13*K13</f>
        <v/>
      </c>
      <c r="Q13" s="169">
        <f>A13*L13</f>
        <v/>
      </c>
      <c r="R13" s="169">
        <f>1-P13</f>
        <v/>
      </c>
      <c r="S13" s="169">
        <f>1-Q13</f>
        <v/>
      </c>
      <c r="T13" s="169" t="n"/>
      <c r="U13" s="72" t="inlineStr">
        <is>
          <t>dans la colonne A Inclure Mesure</t>
        </is>
      </c>
    </row>
    <row r="14" ht="15" customHeight="1">
      <c r="A14" s="169" t="n"/>
      <c r="B14" s="167" t="n"/>
      <c r="C14" s="14" t="inlineStr">
        <is>
          <t>5.4 Management responsibilities</t>
        </is>
      </c>
      <c r="D14" s="11" t="inlineStr">
        <is>
          <t>ISO/IEC 27002:2022</t>
        </is>
      </c>
      <c r="E14" s="11" t="n">
        <v>4</v>
      </c>
      <c r="F14" s="15" t="n"/>
      <c r="G14" s="15" t="n"/>
      <c r="H14" s="11" t="n">
        <v>5000</v>
      </c>
      <c r="I14" s="15" t="n">
        <v>500</v>
      </c>
      <c r="J14" s="12" t="n">
        <v>0.01</v>
      </c>
      <c r="K14" s="11" t="n">
        <v>0.01</v>
      </c>
      <c r="L14" s="13" t="n">
        <v>0.01</v>
      </c>
      <c r="M14" s="167" t="n"/>
      <c r="N14" s="169">
        <f>A14*((SUM(F14:I14))+(J14*1950*80))</f>
        <v/>
      </c>
      <c r="O14" s="169">
        <f>A14*J14</f>
        <v/>
      </c>
      <c r="P14" s="169">
        <f>A14*K14</f>
        <v/>
      </c>
      <c r="Q14" s="169">
        <f>A14*L14</f>
        <v/>
      </c>
      <c r="R14" s="169">
        <f>1-P14</f>
        <v/>
      </c>
      <c r="S14" s="169">
        <f>1-Q14</f>
        <v/>
      </c>
      <c r="T14" s="169" t="n"/>
      <c r="U14" s="72" t="inlineStr">
        <is>
          <t xml:space="preserve">   0 ou vide = non sélectionné</t>
        </is>
      </c>
    </row>
    <row r="15" ht="15" customHeight="1">
      <c r="A15" s="169" t="n"/>
      <c r="B15" s="167" t="n"/>
      <c r="C15" s="14" t="inlineStr">
        <is>
          <t>5.5 Contact with authorities</t>
        </is>
      </c>
      <c r="D15" s="11" t="inlineStr">
        <is>
          <t>ISO/IEC 27002:2022</t>
        </is>
      </c>
      <c r="E15" s="11" t="n">
        <v>5</v>
      </c>
      <c r="F15" s="15" t="n"/>
      <c r="G15" s="15" t="n"/>
      <c r="H15" s="11" t="n">
        <v>5000</v>
      </c>
      <c r="I15" s="15" t="n"/>
      <c r="J15" s="12">
        <f>1/50</f>
        <v/>
      </c>
      <c r="K15" s="11" t="n">
        <v>0.01</v>
      </c>
      <c r="L15" s="13" t="n">
        <v>0.01</v>
      </c>
      <c r="M15" s="167" t="n"/>
      <c r="N15" s="169">
        <f>A15*((SUM(F15:I15))+(J15*1950*80))</f>
        <v/>
      </c>
      <c r="O15" s="169">
        <f>A15*J15</f>
        <v/>
      </c>
      <c r="P15" s="169">
        <f>A15*K15</f>
        <v/>
      </c>
      <c r="Q15" s="169">
        <f>A15*L15</f>
        <v/>
      </c>
      <c r="R15" s="169">
        <f>1-P15</f>
        <v/>
      </c>
      <c r="S15" s="169">
        <f>1-Q15</f>
        <v/>
      </c>
      <c r="T15" s="169" t="n"/>
      <c r="U15" s="72" t="inlineStr">
        <is>
          <t xml:space="preserve">   1 = Inclure ce contrôle dans les mesures de mitigation.</t>
        </is>
      </c>
    </row>
    <row r="16" ht="15" customHeight="1">
      <c r="A16" s="169" t="n"/>
      <c r="B16" s="167" t="n"/>
      <c r="C16" s="14" t="inlineStr">
        <is>
          <t>5.6 Contact with special interest groups</t>
        </is>
      </c>
      <c r="D16" s="11" t="inlineStr">
        <is>
          <t>ISO/IEC 27002:2022</t>
        </is>
      </c>
      <c r="E16" s="11" t="n">
        <v>6</v>
      </c>
      <c r="F16" s="15" t="n"/>
      <c r="G16" s="15" t="n"/>
      <c r="H16" s="11" t="n">
        <v>5000</v>
      </c>
      <c r="I16" s="15" t="n"/>
      <c r="J16" s="12">
        <f>3/50</f>
        <v/>
      </c>
      <c r="K16" s="11" t="n">
        <v>0.01</v>
      </c>
      <c r="L16" s="13" t="n">
        <v>0.01</v>
      </c>
      <c r="M16" s="167" t="n"/>
      <c r="N16" s="169">
        <f>A16*((SUM(F16:I16))+(J16*1950*80))</f>
        <v/>
      </c>
      <c r="O16" s="169">
        <f>A16*J16</f>
        <v/>
      </c>
      <c r="P16" s="169">
        <f>A16*K16</f>
        <v/>
      </c>
      <c r="Q16" s="169">
        <f>A16*L16</f>
        <v/>
      </c>
      <c r="R16" s="169">
        <f>1-P16</f>
        <v/>
      </c>
      <c r="S16" s="169">
        <f>1-Q16</f>
        <v/>
      </c>
      <c r="T16" s="169" t="n"/>
    </row>
    <row r="17" ht="15" customHeight="1">
      <c r="A17" s="169" t="n"/>
      <c r="B17" s="167" t="n"/>
      <c r="C17" s="14" t="inlineStr">
        <is>
          <t>5.7 Threat intelligence</t>
        </is>
      </c>
      <c r="D17" s="11" t="inlineStr">
        <is>
          <t>ISO/IEC 27002:2022</t>
        </is>
      </c>
      <c r="E17" s="11" t="n">
        <v>7</v>
      </c>
      <c r="F17" s="15" t="n"/>
      <c r="G17" s="15" t="n"/>
      <c r="H17" s="11" t="n">
        <v>10000</v>
      </c>
      <c r="I17" s="15" t="n">
        <v>1000</v>
      </c>
      <c r="J17" s="12" t="n">
        <v>0.02</v>
      </c>
      <c r="K17" s="11" t="n">
        <v>0.01</v>
      </c>
      <c r="L17" s="13" t="n">
        <v>0.01</v>
      </c>
      <c r="M17" s="167" t="n"/>
      <c r="N17" s="169">
        <f>A17*((SUM(F17:I17))+(J17*1950*80))</f>
        <v/>
      </c>
      <c r="O17" s="169">
        <f>A17*J17</f>
        <v/>
      </c>
      <c r="P17" s="169">
        <f>A17*K17</f>
        <v/>
      </c>
      <c r="Q17" s="169">
        <f>A17*L17</f>
        <v/>
      </c>
      <c r="R17" s="169">
        <f>1-P17</f>
        <v/>
      </c>
      <c r="S17" s="169">
        <f>1-Q17</f>
        <v/>
      </c>
      <c r="T17" s="169" t="n"/>
      <c r="U17" s="170" t="inlineStr">
        <is>
          <t>4. Define the risk mitigation measures (Sheets M1 to M10)</t>
        </is>
      </c>
    </row>
    <row r="18" ht="15" customHeight="1">
      <c r="A18" s="169" t="n"/>
      <c r="B18" s="167" t="n"/>
      <c r="C18" s="14" t="inlineStr">
        <is>
          <t>5.8 Information security in project management</t>
        </is>
      </c>
      <c r="D18" s="11" t="inlineStr">
        <is>
          <t>ISO/IEC 27002:2022</t>
        </is>
      </c>
      <c r="E18" s="11" t="n">
        <v>8</v>
      </c>
      <c r="F18" s="15" t="n"/>
      <c r="G18" s="15" t="n"/>
      <c r="H18" s="11" t="n">
        <v>5000</v>
      </c>
      <c r="I18" s="15" t="n"/>
      <c r="J18" s="12" t="n">
        <v>0.06</v>
      </c>
      <c r="K18" s="11" t="n">
        <v>0.06</v>
      </c>
      <c r="L18" s="13" t="n">
        <v>0.06</v>
      </c>
      <c r="M18" s="167" t="n"/>
      <c r="N18" s="169">
        <f>A18*((SUM(F18:I18))+(J18*1950*80))</f>
        <v/>
      </c>
      <c r="O18" s="169">
        <f>A18*J18</f>
        <v/>
      </c>
      <c r="P18" s="169">
        <f>A18*K18</f>
        <v/>
      </c>
      <c r="Q18" s="169">
        <f>A18*L18</f>
        <v/>
      </c>
      <c r="R18" s="169">
        <f>1-P18</f>
        <v/>
      </c>
      <c r="S18" s="169">
        <f>1-Q18</f>
        <v/>
      </c>
      <c r="T18" s="169" t="n"/>
      <c r="U18" s="72" t="inlineStr">
        <is>
          <t>indicate the selected mitigation measures or controls in Column A</t>
        </is>
      </c>
    </row>
    <row r="19" ht="15" customHeight="1">
      <c r="A19" s="169" t="n"/>
      <c r="B19" s="167" t="n"/>
      <c r="C19" s="14" t="inlineStr">
        <is>
          <t>5.9 Inventory of information and other associated assets</t>
        </is>
      </c>
      <c r="D19" s="11" t="inlineStr">
        <is>
          <t>ISO/IEC 27002:2022</t>
        </is>
      </c>
      <c r="E19" s="11" t="n">
        <v>9</v>
      </c>
      <c r="F19" s="15" t="n"/>
      <c r="G19" s="15" t="n">
        <v>10000</v>
      </c>
      <c r="H19" s="11" t="n">
        <v>50000</v>
      </c>
      <c r="I19" s="15" t="n">
        <v>100</v>
      </c>
      <c r="J19" s="12" t="n">
        <v>0.04</v>
      </c>
      <c r="K19" s="11" t="n">
        <v>0.06</v>
      </c>
      <c r="L19" s="13" t="n">
        <v>0.06</v>
      </c>
      <c r="M19" s="167" t="n"/>
      <c r="N19" s="169">
        <f>A19*((SUM(F19:I19))+(J19*1950*80))</f>
        <v/>
      </c>
      <c r="O19" s="169">
        <f>A19*J19</f>
        <v/>
      </c>
      <c r="P19" s="169">
        <f>A19*K19</f>
        <v/>
      </c>
      <c r="Q19" s="169">
        <f>A19*L19</f>
        <v/>
      </c>
      <c r="R19" s="169">
        <f>1-P19</f>
        <v/>
      </c>
      <c r="S19" s="169">
        <f>1-Q19</f>
        <v/>
      </c>
      <c r="T19" s="169" t="n"/>
      <c r="U19" s="72" t="inlineStr">
        <is>
          <t xml:space="preserve">   0 or empty = not selected</t>
        </is>
      </c>
    </row>
    <row r="20" ht="15" customHeight="1">
      <c r="A20" s="169" t="n"/>
      <c r="B20" s="167" t="n"/>
      <c r="C20" s="14" t="inlineStr">
        <is>
          <t>5.10 Acceptable use of information and other associated assets</t>
        </is>
      </c>
      <c r="D20" s="11" t="inlineStr">
        <is>
          <t>ISO/IEC 27002:2022</t>
        </is>
      </c>
      <c r="E20" s="11" t="n">
        <v>10</v>
      </c>
      <c r="F20" s="15" t="n"/>
      <c r="G20" s="15" t="n"/>
      <c r="H20" s="11" t="n">
        <v>10000</v>
      </c>
      <c r="I20" s="15" t="n">
        <v>100</v>
      </c>
      <c r="J20" s="12" t="n">
        <v>0.02</v>
      </c>
      <c r="K20" s="11" t="n">
        <v>0.03</v>
      </c>
      <c r="L20" s="13" t="n">
        <v>0.03</v>
      </c>
      <c r="M20" s="167" t="n"/>
      <c r="N20" s="169">
        <f>A20*((SUM(F20:I20))+(J20*1950*80))</f>
        <v/>
      </c>
      <c r="O20" s="169">
        <f>A20*J20</f>
        <v/>
      </c>
      <c r="P20" s="169">
        <f>A20*K20</f>
        <v/>
      </c>
      <c r="Q20" s="169">
        <f>A20*L20</f>
        <v/>
      </c>
      <c r="R20" s="169">
        <f>1-P20</f>
        <v/>
      </c>
      <c r="S20" s="169">
        <f>1-Q20</f>
        <v/>
      </c>
      <c r="T20" s="169" t="n"/>
      <c r="U20" s="72" t="inlineStr">
        <is>
          <t xml:space="preserve">   1 = include this control in the mitigation measures for the scenario</t>
        </is>
      </c>
    </row>
    <row r="21" ht="15" customHeight="1">
      <c r="A21" s="169" t="n"/>
      <c r="B21" s="167" t="n"/>
      <c r="C21" s="14" t="inlineStr">
        <is>
          <t>5.11 Return of assets</t>
        </is>
      </c>
      <c r="D21" s="11" t="inlineStr">
        <is>
          <t>ISO/IEC 27002:2022</t>
        </is>
      </c>
      <c r="E21" s="11" t="n">
        <v>11</v>
      </c>
      <c r="F21" s="15" t="n"/>
      <c r="G21" s="15" t="n"/>
      <c r="H21" s="11" t="n">
        <v>20000</v>
      </c>
      <c r="I21" s="15" t="n">
        <v>100</v>
      </c>
      <c r="J21" s="12" t="n">
        <v>0.02</v>
      </c>
      <c r="K21" s="11" t="n">
        <v>0.01</v>
      </c>
      <c r="L21" s="13" t="n">
        <v>0.01</v>
      </c>
      <c r="M21" s="167" t="n"/>
      <c r="N21" s="169">
        <f>A21*((SUM(F21:I21))+(J21*1950*80))</f>
        <v/>
      </c>
      <c r="O21" s="169">
        <f>A21*J21</f>
        <v/>
      </c>
      <c r="P21" s="169">
        <f>A21*K21</f>
        <v/>
      </c>
      <c r="Q21" s="169">
        <f>A21*L21</f>
        <v/>
      </c>
      <c r="R21" s="169">
        <f>1-P21</f>
        <v/>
      </c>
      <c r="S21" s="169">
        <f>1-Q21</f>
        <v/>
      </c>
      <c r="T21" s="169" t="n"/>
      <c r="U21" t="inlineStr">
        <is>
          <t>Combination rule / Règle de combinaison :</t>
        </is>
      </c>
    </row>
    <row r="22" ht="15" customHeight="1" thickBot="1">
      <c r="A22" s="169" t="n"/>
      <c r="B22" s="167" t="n"/>
      <c r="C22" s="14" t="inlineStr">
        <is>
          <t>5.12 Classification of information</t>
        </is>
      </c>
      <c r="D22" s="11" t="inlineStr">
        <is>
          <t>ISO/IEC 27002:2022</t>
        </is>
      </c>
      <c r="E22" s="11" t="n">
        <v>12</v>
      </c>
      <c r="F22" s="15" t="n"/>
      <c r="G22" s="15" t="n">
        <v>5000</v>
      </c>
      <c r="H22" s="11" t="n">
        <v>50000</v>
      </c>
      <c r="I22" s="15" t="n">
        <v>100</v>
      </c>
      <c r="J22" s="12" t="n">
        <v>0.02</v>
      </c>
      <c r="K22" s="11" t="n">
        <v>0.06</v>
      </c>
      <c r="L22" s="13" t="n">
        <v>0.06</v>
      </c>
      <c r="M22" s="167" t="n"/>
      <c r="N22" s="169">
        <f>A22*((SUM(F22:I22))+(J22*1950*80))</f>
        <v/>
      </c>
      <c r="O22" s="169">
        <f>A22*J22</f>
        <v/>
      </c>
      <c r="P22" s="169">
        <f>A22*K22</f>
        <v/>
      </c>
      <c r="Q22" s="169">
        <f>A22*L22</f>
        <v/>
      </c>
      <c r="R22" s="169">
        <f>1-P22</f>
        <v/>
      </c>
      <c r="S22" s="169">
        <f>1-Q22</f>
        <v/>
      </c>
      <c r="T22" s="169" t="n"/>
      <c r="U22" s="161" t="inlineStr">
        <is>
          <t>Selected coefficients combine per column (K impact, L probability) with the product rule:</t>
        </is>
      </c>
    </row>
    <row r="23" ht="15" customHeight="1" thickBot="1">
      <c r="A23" s="169" t="n"/>
      <c r="B23" s="167" t="n"/>
      <c r="C23" s="14" t="inlineStr">
        <is>
          <t>5.13 Labelling of information</t>
        </is>
      </c>
      <c r="D23" s="11" t="inlineStr">
        <is>
          <t>ISO/IEC 27002:2022</t>
        </is>
      </c>
      <c r="E23" s="11" t="n">
        <v>13</v>
      </c>
      <c r="F23" s="15" t="n"/>
      <c r="G23" s="15" t="n"/>
      <c r="H23" s="11" t="n">
        <v>10000</v>
      </c>
      <c r="I23" s="15" t="n">
        <v>50</v>
      </c>
      <c r="J23" s="12" t="n">
        <v>0.02</v>
      </c>
      <c r="K23" s="11" t="n">
        <v>0.01</v>
      </c>
      <c r="L23" s="13" t="n">
        <v>0.01</v>
      </c>
      <c r="M23" s="167" t="n"/>
      <c r="N23" s="169">
        <f>A23*((SUM(F23:I23))+(J23*1950*80))</f>
        <v/>
      </c>
      <c r="O23" s="169">
        <f>A23*J23</f>
        <v/>
      </c>
      <c r="P23" s="169">
        <f>A23*K23</f>
        <v/>
      </c>
      <c r="Q23" s="169">
        <f>A23*L23</f>
        <v/>
      </c>
      <c r="R23" s="169">
        <f>1-P23</f>
        <v/>
      </c>
      <c r="S23" s="169">
        <f>1-Q23</f>
        <v/>
      </c>
      <c r="T23" s="169" t="n"/>
      <c r="U23" t="inlineStr">
        <is>
          <t>package reduction = 1 − ∏(1 − rᵢ). Each rᵢ must be 0-1, so the package can never exceed 1;</t>
        </is>
      </c>
    </row>
    <row r="24" ht="15" customHeight="1">
      <c r="A24" s="169" t="n"/>
      <c r="B24" s="167" t="n"/>
      <c r="C24" s="14" t="inlineStr">
        <is>
          <t>5.14 Information transfer</t>
        </is>
      </c>
      <c r="D24" s="11" t="inlineStr">
        <is>
          <t>ISO/IEC 27002:2022</t>
        </is>
      </c>
      <c r="E24" s="11" t="n">
        <v>14</v>
      </c>
      <c r="F24" s="15" t="n"/>
      <c r="G24" s="15" t="n"/>
      <c r="H24" s="11" t="n">
        <v>20000</v>
      </c>
      <c r="I24" s="15" t="n">
        <v>1000</v>
      </c>
      <c r="J24" s="12" t="n">
        <v>0.02</v>
      </c>
      <c r="K24" s="11" t="n">
        <v>0.02</v>
      </c>
      <c r="L24" s="13" t="n">
        <v>0.02</v>
      </c>
      <c r="M24" s="167" t="n"/>
      <c r="N24" s="169">
        <f>A24*((SUM(F24:I24))+(J24*1950*80))</f>
        <v/>
      </c>
      <c r="O24" s="169">
        <f>A24*J24</f>
        <v/>
      </c>
      <c r="P24" s="169">
        <f>A24*K24</f>
        <v/>
      </c>
      <c r="Q24" s="169">
        <f>A24*L24</f>
        <v/>
      </c>
      <c r="R24" s="169">
        <f>1-P24</f>
        <v/>
      </c>
      <c r="S24" s="169">
        <f>1-Q24</f>
        <v/>
      </c>
      <c r="T24" s="169" t="n"/>
      <c r="U24" t="inlineStr">
        <is>
          <t>the 'Other' rows count as additional factors. A warning appears under the TOTAL row if a coefficient is outside 0-1.</t>
        </is>
      </c>
    </row>
    <row r="25" ht="15" customHeight="1">
      <c r="A25" s="169" t="n"/>
      <c r="B25" s="167" t="n"/>
      <c r="C25" s="14" t="inlineStr">
        <is>
          <t>5.15 Access control</t>
        </is>
      </c>
      <c r="D25" s="11" t="inlineStr">
        <is>
          <t>ISO/IEC 27002:2022</t>
        </is>
      </c>
      <c r="E25" s="11" t="n">
        <v>15</v>
      </c>
      <c r="F25" s="15" t="n"/>
      <c r="G25" s="15" t="n">
        <v>5000</v>
      </c>
      <c r="H25" s="11" t="n">
        <v>5000</v>
      </c>
      <c r="I25" s="15" t="n">
        <v>100</v>
      </c>
      <c r="J25" s="12" t="n">
        <v>0.02</v>
      </c>
      <c r="K25" s="11" t="n">
        <v>0.06</v>
      </c>
      <c r="L25" s="13" t="n">
        <v>0.06</v>
      </c>
      <c r="M25" s="167" t="n"/>
      <c r="N25" s="169">
        <f>A25*((SUM(F25:I25))+(J25*1950*80))</f>
        <v/>
      </c>
      <c r="O25" s="169">
        <f>A25*J25</f>
        <v/>
      </c>
      <c r="P25" s="169">
        <f>A25*K25</f>
        <v/>
      </c>
      <c r="Q25" s="169">
        <f>A25*L25</f>
        <v/>
      </c>
      <c r="R25" s="169">
        <f>1-P25</f>
        <v/>
      </c>
      <c r="S25" s="169">
        <f>1-Q25</f>
        <v/>
      </c>
      <c r="T25" s="169" t="n"/>
      <c r="U25" t="inlineStr">
        <is>
          <t>Prefer a few well-justified controls, or enter ONE package-level</t>
        </is>
      </c>
    </row>
    <row r="26" ht="15" customHeight="1">
      <c r="A26" s="169" t="n"/>
      <c r="B26" s="167" t="n"/>
      <c r="C26" s="14" t="inlineStr">
        <is>
          <t>5.16 Identity management</t>
        </is>
      </c>
      <c r="D26" s="11" t="inlineStr">
        <is>
          <t>ISO/IEC 27002:2022</t>
        </is>
      </c>
      <c r="E26" s="11" t="n">
        <v>16</v>
      </c>
      <c r="F26" s="15" t="n"/>
      <c r="G26" s="15" t="n">
        <v>5000</v>
      </c>
      <c r="H26" s="11" t="n">
        <v>5000</v>
      </c>
      <c r="I26" s="15" t="n">
        <v>100</v>
      </c>
      <c r="J26" s="12" t="n">
        <v>0.01</v>
      </c>
      <c r="K26" s="11" t="n">
        <v>0.01</v>
      </c>
      <c r="L26" s="13" t="n">
        <v>0.01</v>
      </c>
      <c r="M26" s="167" t="n"/>
      <c r="N26" s="169">
        <f>A26*((SUM(F26:I26))+(J26*1950*80))</f>
        <v/>
      </c>
      <c r="O26" s="169">
        <f>A26*J26</f>
        <v/>
      </c>
      <c r="P26" s="169">
        <f>A26*K26</f>
        <v/>
      </c>
      <c r="Q26" s="169">
        <f>A26*L26</f>
        <v/>
      </c>
      <c r="R26" s="169">
        <f>1-P26</f>
        <v/>
      </c>
      <c r="S26" s="169">
        <f>1-Q26</f>
        <v/>
      </c>
      <c r="T26" s="169" t="n"/>
      <c r="U26" t="inlineStr">
        <is>
          <t>estimate (cost, impact and Pb reduction) in an 'Other' row, with its rationale.</t>
        </is>
      </c>
    </row>
    <row r="27" ht="15" customHeight="1">
      <c r="A27" s="169" t="n"/>
      <c r="B27" s="167" t="n"/>
      <c r="C27" s="14" t="inlineStr">
        <is>
          <t>5.17 Authentication information</t>
        </is>
      </c>
      <c r="D27" s="11" t="inlineStr">
        <is>
          <t>ISO/IEC 27002:2022</t>
        </is>
      </c>
      <c r="E27" s="11" t="n">
        <v>17</v>
      </c>
      <c r="F27" s="15" t="n"/>
      <c r="G27" s="15" t="n">
        <v>5000</v>
      </c>
      <c r="H27" s="11" t="n">
        <v>5000</v>
      </c>
      <c r="I27" s="15" t="n">
        <v>100</v>
      </c>
      <c r="J27" s="12" t="n">
        <v>0.01</v>
      </c>
      <c r="K27" s="11" t="n">
        <v>0.01</v>
      </c>
      <c r="L27" s="13" t="n">
        <v>0.01</v>
      </c>
      <c r="M27" s="167" t="n"/>
      <c r="N27" s="169">
        <f>A27*((SUM(F27:I27))+(J27*1950*80))</f>
        <v/>
      </c>
      <c r="O27" s="169">
        <f>A27*J27</f>
        <v/>
      </c>
      <c r="P27" s="169">
        <f>A27*K27</f>
        <v/>
      </c>
      <c r="Q27" s="169">
        <f>A27*L27</f>
        <v/>
      </c>
      <c r="R27" s="169">
        <f>1-P27</f>
        <v/>
      </c>
      <c r="S27" s="169">
        <f>1-Q27</f>
        <v/>
      </c>
      <c r="T27" s="169" t="n"/>
      <c r="U27" t="inlineStr">
        <is>
          <t>Les coefficients retenus se combinent par colonne selon la règle du produit :</t>
        </is>
      </c>
    </row>
    <row r="28" ht="15" customHeight="1">
      <c r="A28" s="169" t="n"/>
      <c r="B28" s="167" t="n"/>
      <c r="C28" s="14" t="inlineStr">
        <is>
          <t>5.18 Access rights</t>
        </is>
      </c>
      <c r="D28" s="11" t="inlineStr">
        <is>
          <t>ISO/IEC 27002:2022</t>
        </is>
      </c>
      <c r="E28" s="11" t="n">
        <v>18</v>
      </c>
      <c r="F28" s="15" t="n"/>
      <c r="G28" s="15" t="n">
        <v>5000</v>
      </c>
      <c r="H28" s="11" t="n">
        <v>5000</v>
      </c>
      <c r="I28" s="15" t="n">
        <v>100</v>
      </c>
      <c r="J28" s="12" t="n">
        <v>0.01</v>
      </c>
      <c r="K28" s="11" t="n">
        <v>0.01</v>
      </c>
      <c r="L28" s="13" t="n">
        <v>0.01</v>
      </c>
      <c r="M28" s="167" t="n"/>
      <c r="N28" s="169">
        <f>A28*((SUM(F28:I28))+(J28*1950*80))</f>
        <v/>
      </c>
      <c r="O28" s="169">
        <f>A28*J28</f>
        <v/>
      </c>
      <c r="P28" s="169">
        <f>A28*K28</f>
        <v/>
      </c>
      <c r="Q28" s="169">
        <f>A28*L28</f>
        <v/>
      </c>
      <c r="R28" s="169">
        <f>1-P28</f>
        <v/>
      </c>
      <c r="S28" s="169">
        <f>1-Q28</f>
        <v/>
      </c>
      <c r="T28" s="169" t="n"/>
      <c r="U28" t="inlineStr">
        <is>
          <t>réduction du bouquet = 1 − ∏(1 − rᵢ); chaque rᵢ entre 0 et 1, donc jamais plus de 1;</t>
        </is>
      </c>
    </row>
    <row r="29" ht="15" customHeight="1">
      <c r="A29" s="169" t="n"/>
      <c r="B29" s="167" t="n"/>
      <c r="C29" s="14" t="inlineStr">
        <is>
          <t>5.19 Information security in supplier relationships</t>
        </is>
      </c>
      <c r="D29" s="11" t="inlineStr">
        <is>
          <t>ISO/IEC 27002:2022</t>
        </is>
      </c>
      <c r="E29" s="11" t="n">
        <v>19</v>
      </c>
      <c r="F29" s="15" t="n"/>
      <c r="G29" s="15" t="n"/>
      <c r="H29" s="11" t="n">
        <v>20000</v>
      </c>
      <c r="I29" s="15" t="n">
        <v>1000</v>
      </c>
      <c r="J29" s="12" t="n">
        <v>0.02</v>
      </c>
      <c r="K29" s="11" t="n">
        <v>0.06</v>
      </c>
      <c r="L29" s="13" t="n">
        <v>0.06</v>
      </c>
      <c r="M29" s="167" t="n"/>
      <c r="N29" s="169">
        <f>A29*((SUM(F29:I29))+(J29*1950*80))</f>
        <v/>
      </c>
      <c r="O29" s="169">
        <f>A29*J29</f>
        <v/>
      </c>
      <c r="P29" s="169">
        <f>A29*K29</f>
        <v/>
      </c>
      <c r="Q29" s="169">
        <f>A29*L29</f>
        <v/>
      </c>
      <c r="R29" s="169">
        <f>1-P29</f>
        <v/>
      </c>
      <c r="S29" s="169">
        <f>1-Q29</f>
        <v/>
      </c>
      <c r="T29" s="169" t="n"/>
      <c r="U29" t="inlineStr">
        <is>
          <t>les lignes « Other / autre » comptent comme facteurs. Privilégier peu de mesures bien justifiées,</t>
        </is>
      </c>
    </row>
    <row r="30" ht="15" customHeight="1">
      <c r="A30" s="169" t="n"/>
      <c r="B30" s="167" t="n"/>
      <c r="C30" s="14" t="inlineStr">
        <is>
          <t>5.20 Addressing information security within supplier agreements</t>
        </is>
      </c>
      <c r="D30" s="11" t="inlineStr">
        <is>
          <t>ISO/IEC 27002:2022</t>
        </is>
      </c>
      <c r="E30" s="11" t="n">
        <v>20</v>
      </c>
      <c r="F30" s="15" t="n"/>
      <c r="G30" s="15" t="n"/>
      <c r="H30" s="11" t="n">
        <v>20000</v>
      </c>
      <c r="I30" s="15" t="n">
        <v>1000</v>
      </c>
      <c r="J30" s="12" t="n">
        <v>0.02</v>
      </c>
      <c r="K30" s="11" t="n">
        <v>0.06</v>
      </c>
      <c r="L30" s="13" t="n">
        <v>0.06</v>
      </c>
      <c r="M30" s="167" t="n"/>
      <c r="N30" s="169">
        <f>A30*((SUM(F30:I30))+(J30*1950*80))</f>
        <v/>
      </c>
      <c r="O30" s="169">
        <f>A30*J30</f>
        <v/>
      </c>
      <c r="P30" s="169">
        <f>A30*K30</f>
        <v/>
      </c>
      <c r="Q30" s="169">
        <f>A30*L30</f>
        <v/>
      </c>
      <c r="R30" s="169">
        <f>1-P30</f>
        <v/>
      </c>
      <c r="S30" s="169">
        <f>1-Q30</f>
        <v/>
      </c>
      <c r="T30" s="169" t="n"/>
      <c r="U30" t="inlineStr">
        <is>
          <t>ou saisir une estimation globale du bouquet dans une ligne « Other / autre ».</t>
        </is>
      </c>
    </row>
    <row r="31" ht="15" customHeight="1">
      <c r="A31" s="169" t="n"/>
      <c r="B31" s="167" t="n"/>
      <c r="C31" s="14" t="inlineStr">
        <is>
          <t>5.21 Managing information security in the ICT supply chain</t>
        </is>
      </c>
      <c r="D31" s="11" t="inlineStr">
        <is>
          <t>ISO/IEC 27002:2022</t>
        </is>
      </c>
      <c r="E31" s="11" t="n">
        <v>21</v>
      </c>
      <c r="F31" s="15" t="n"/>
      <c r="G31" s="15" t="n"/>
      <c r="H31" s="11" t="n">
        <v>20000</v>
      </c>
      <c r="I31" s="15" t="n">
        <v>1000</v>
      </c>
      <c r="J31" s="12" t="n">
        <v>0.02</v>
      </c>
      <c r="K31" s="11" t="n">
        <v>0.01</v>
      </c>
      <c r="L31" s="13" t="n">
        <v>0.01</v>
      </c>
      <c r="M31" s="167" t="n"/>
      <c r="N31" s="169">
        <f>A31*((SUM(F31:I31))+(J31*1950*80))</f>
        <v/>
      </c>
      <c r="O31" s="169">
        <f>A31*J31</f>
        <v/>
      </c>
      <c r="P31" s="169">
        <f>A31*K31</f>
        <v/>
      </c>
      <c r="Q31" s="169">
        <f>A31*L31</f>
        <v/>
      </c>
      <c r="R31" s="169">
        <f>1-P31</f>
        <v/>
      </c>
      <c r="S31" s="169">
        <f>1-Q31</f>
        <v/>
      </c>
      <c r="T31" s="169" t="n"/>
      <c r="U31" t="inlineStr">
        <is>
          <t>estimation globale du bouquet dans une ligne « Other / autre ».</t>
        </is>
      </c>
    </row>
    <row r="32" ht="15" customHeight="1" thickBot="1">
      <c r="A32" s="169" t="n"/>
      <c r="B32" s="167" t="n"/>
      <c r="C32" s="14" t="inlineStr">
        <is>
          <t>5.22 Monitoring, review and change management of supplier services</t>
        </is>
      </c>
      <c r="D32" s="11" t="inlineStr">
        <is>
          <t>ISO/IEC 27002:2022</t>
        </is>
      </c>
      <c r="E32" s="11" t="n">
        <v>22</v>
      </c>
      <c r="F32" s="15" t="n"/>
      <c r="G32" s="15" t="n"/>
      <c r="H32" s="11" t="n">
        <v>20000</v>
      </c>
      <c r="I32" s="15" t="n">
        <v>1000</v>
      </c>
      <c r="J32" s="12" t="n">
        <v>0.02</v>
      </c>
      <c r="K32" s="11" t="n">
        <v>0.06</v>
      </c>
      <c r="L32" s="13" t="n">
        <v>0.06</v>
      </c>
      <c r="M32" s="167" t="n"/>
      <c r="N32" s="169">
        <f>A32*((SUM(F32:I32))+(J32*1950*80))</f>
        <v/>
      </c>
      <c r="O32" s="169">
        <f>A32*J32</f>
        <v/>
      </c>
      <c r="P32" s="169">
        <f>A32*K32</f>
        <v/>
      </c>
      <c r="Q32" s="169">
        <f>A32*L32</f>
        <v/>
      </c>
      <c r="R32" s="169">
        <f>1-P32</f>
        <v/>
      </c>
      <c r="S32" s="169">
        <f>1-Q32</f>
        <v/>
      </c>
      <c r="T32" s="169" t="n"/>
    </row>
    <row r="33" ht="15" customHeight="1" thickBot="1">
      <c r="A33" s="169" t="n"/>
      <c r="B33" s="167" t="n"/>
      <c r="C33" s="14" t="inlineStr">
        <is>
          <t>5.23 Information security for use of cloud services</t>
        </is>
      </c>
      <c r="D33" s="11" t="inlineStr">
        <is>
          <t>ISO/IEC 27002:2022</t>
        </is>
      </c>
      <c r="E33" s="11" t="n">
        <v>23</v>
      </c>
      <c r="F33" s="15" t="n"/>
      <c r="G33" s="15" t="n"/>
      <c r="H33" s="11" t="n">
        <v>10000</v>
      </c>
      <c r="I33" s="15" t="n">
        <v>1000</v>
      </c>
      <c r="J33" s="12" t="n">
        <v>0.02</v>
      </c>
      <c r="K33" s="11" t="n">
        <v>0.01</v>
      </c>
      <c r="L33" s="13" t="n">
        <v>0.01</v>
      </c>
      <c r="M33" s="167" t="n"/>
      <c r="N33" s="169">
        <f>A33*((SUM(F33:I33))+(J33*1950*80))</f>
        <v/>
      </c>
      <c r="O33" s="169">
        <f>A33*J33</f>
        <v/>
      </c>
      <c r="P33" s="169">
        <f>A33*K33</f>
        <v/>
      </c>
      <c r="Q33" s="169">
        <f>A33*L33</f>
        <v/>
      </c>
      <c r="R33" s="169">
        <f>1-P33</f>
        <v/>
      </c>
      <c r="S33" s="169">
        <f>1-Q33</f>
        <v/>
      </c>
      <c r="T33" s="169" t="n"/>
      <c r="U33" t="inlineStr">
        <is>
          <t>Catalogues: ISO/IEC 27002:2022 (93), NIST CSF 2.0 (106), CIS Controls v8.1 (18).</t>
        </is>
      </c>
    </row>
    <row r="34" ht="15" customHeight="1">
      <c r="A34" s="169" t="n"/>
      <c r="B34" s="167" t="n"/>
      <c r="C34" s="14" t="inlineStr">
        <is>
          <t>5.24 Information security incident management planning and preparation</t>
        </is>
      </c>
      <c r="D34" s="11" t="inlineStr">
        <is>
          <t>ISO/IEC 27002:2022</t>
        </is>
      </c>
      <c r="E34" s="11" t="n">
        <v>24</v>
      </c>
      <c r="F34" s="15" t="n"/>
      <c r="G34" s="15" t="n"/>
      <c r="H34" s="11" t="n">
        <v>10000</v>
      </c>
      <c r="I34" s="15" t="n">
        <v>1000</v>
      </c>
      <c r="J34" s="12" t="n">
        <v>0.02</v>
      </c>
      <c r="K34" s="11" t="n">
        <v>0.01</v>
      </c>
      <c r="L34" s="13" t="n">
        <v>0.01</v>
      </c>
      <c r="M34" s="167" t="n"/>
      <c r="N34" s="169">
        <f>A34*((SUM(F34:I34))+(J34*1950*80))</f>
        <v/>
      </c>
      <c r="O34" s="169">
        <f>A34*J34</f>
        <v/>
      </c>
      <c r="P34" s="169">
        <f>A34*K34</f>
        <v/>
      </c>
      <c r="Q34" s="169">
        <f>A34*L34</f>
        <v/>
      </c>
      <c r="R34" s="169">
        <f>1-P34</f>
        <v/>
      </c>
      <c r="S34" s="169">
        <f>1-Q34</f>
        <v/>
      </c>
      <c r="T34" s="169" t="n"/>
      <c r="U34" t="inlineStr">
        <is>
          <t>Default costs and coefficients are generic placeholders: recalibrate them.</t>
        </is>
      </c>
    </row>
    <row r="35" ht="15" customHeight="1">
      <c r="A35" s="169" t="n"/>
      <c r="B35" s="167" t="n"/>
      <c r="C35" s="14" t="inlineStr">
        <is>
          <t>5.25 Assessment and decision on information security events</t>
        </is>
      </c>
      <c r="D35" s="11" t="inlineStr">
        <is>
          <t>ISO/IEC 27002:2022</t>
        </is>
      </c>
      <c r="E35" s="11" t="n">
        <v>25</v>
      </c>
      <c r="F35" s="15" t="n"/>
      <c r="G35" s="15" t="n"/>
      <c r="H35" s="11" t="n">
        <v>10000</v>
      </c>
      <c r="I35" s="15" t="n">
        <v>1000</v>
      </c>
      <c r="J35" s="12" t="n">
        <v>0.02</v>
      </c>
      <c r="K35" s="11" t="n">
        <v>0.01</v>
      </c>
      <c r="L35" s="13" t="n">
        <v>0.01</v>
      </c>
      <c r="M35" s="167" t="n"/>
      <c r="N35" s="169">
        <f>A35*((SUM(F35:I35))+(J35*1950*80))</f>
        <v/>
      </c>
      <c r="O35" s="169">
        <f>A35*J35</f>
        <v/>
      </c>
      <c r="P35" s="169">
        <f>A35*K35</f>
        <v/>
      </c>
      <c r="Q35" s="169">
        <f>A35*L35</f>
        <v/>
      </c>
      <c r="R35" s="169">
        <f>1-P35</f>
        <v/>
      </c>
      <c r="S35" s="169">
        <f>1-Q35</f>
        <v/>
      </c>
      <c r="T35" s="169" t="n"/>
      <c r="U35" t="inlineStr">
        <is>
          <t>Coûts et coefficients par défaut génériques : à recalibrer.</t>
        </is>
      </c>
    </row>
    <row r="36" ht="15" customHeight="1">
      <c r="A36" s="169" t="n"/>
      <c r="B36" s="167" t="n"/>
      <c r="C36" s="14" t="inlineStr">
        <is>
          <t>5.26 Response to information security incidents</t>
        </is>
      </c>
      <c r="D36" s="11" t="inlineStr">
        <is>
          <t>ISO/IEC 27002:2022</t>
        </is>
      </c>
      <c r="E36" s="11" t="n">
        <v>26</v>
      </c>
      <c r="F36" s="15" t="n"/>
      <c r="G36" s="15" t="n"/>
      <c r="H36" s="11" t="n">
        <v>10000</v>
      </c>
      <c r="I36" s="15" t="n">
        <v>1000</v>
      </c>
      <c r="J36" s="12" t="n">
        <v>0.02</v>
      </c>
      <c r="K36" s="11" t="n">
        <v>0.06</v>
      </c>
      <c r="L36" s="13" t="n">
        <v>0.06</v>
      </c>
      <c r="M36" s="167" t="n"/>
      <c r="N36" s="169">
        <f>A36*((SUM(F36:I36))+(J36*1950*80))</f>
        <v/>
      </c>
      <c r="O36" s="169">
        <f>A36*J36</f>
        <v/>
      </c>
      <c r="P36" s="169">
        <f>A36*K36</f>
        <v/>
      </c>
      <c r="Q36" s="169">
        <f>A36*L36</f>
        <v/>
      </c>
      <c r="R36" s="169">
        <f>1-P36</f>
        <v/>
      </c>
      <c r="S36" s="169">
        <f>1-Q36</f>
        <v/>
      </c>
      <c r="T36" s="169" t="n"/>
    </row>
    <row r="37" ht="15" customHeight="1">
      <c r="A37" s="169" t="n"/>
      <c r="B37" s="167" t="n"/>
      <c r="C37" s="14" t="inlineStr">
        <is>
          <t>5.27 Learning from information security incidents</t>
        </is>
      </c>
      <c r="D37" s="11" t="inlineStr">
        <is>
          <t>ISO/IEC 27002:2022</t>
        </is>
      </c>
      <c r="E37" s="11" t="n">
        <v>27</v>
      </c>
      <c r="F37" s="15" t="n"/>
      <c r="G37" s="15" t="n"/>
      <c r="H37" s="11" t="n">
        <v>10000</v>
      </c>
      <c r="I37" s="15" t="n">
        <v>1000</v>
      </c>
      <c r="J37" s="12" t="n">
        <v>0.02</v>
      </c>
      <c r="K37" s="11" t="n">
        <v>0.01</v>
      </c>
      <c r="L37" s="13" t="n">
        <v>0.01</v>
      </c>
      <c r="M37" s="167" t="n"/>
      <c r="N37" s="169">
        <f>A37*((SUM(F37:I37))+(J37*1950*80))</f>
        <v/>
      </c>
      <c r="O37" s="169">
        <f>A37*J37</f>
        <v/>
      </c>
      <c r="P37" s="169">
        <f>A37*K37</f>
        <v/>
      </c>
      <c r="Q37" s="169">
        <f>A37*L37</f>
        <v/>
      </c>
      <c r="R37" s="169">
        <f>1-P37</f>
        <v/>
      </c>
      <c r="S37" s="169">
        <f>1-Q37</f>
        <v/>
      </c>
      <c r="T37" s="169" t="n"/>
    </row>
    <row r="38" ht="15" customHeight="1">
      <c r="A38" s="169" t="n"/>
      <c r="B38" s="167" t="n"/>
      <c r="C38" s="14" t="inlineStr">
        <is>
          <t>5.28 Collection of evidence</t>
        </is>
      </c>
      <c r="D38" s="11" t="inlineStr">
        <is>
          <t>ISO/IEC 27002:2022</t>
        </is>
      </c>
      <c r="E38" s="11" t="n">
        <v>28</v>
      </c>
      <c r="F38" s="15" t="n"/>
      <c r="G38" s="15" t="n"/>
      <c r="H38" s="11" t="n">
        <v>10000</v>
      </c>
      <c r="I38" s="15" t="n">
        <v>10000</v>
      </c>
      <c r="J38" s="12" t="n">
        <v>0.02</v>
      </c>
      <c r="K38" s="11" t="n">
        <v>0.01</v>
      </c>
      <c r="L38" s="13" t="n">
        <v>0.01</v>
      </c>
      <c r="M38" s="167" t="n"/>
      <c r="N38" s="169">
        <f>A38*((SUM(F38:I38))+(J38*1950*80))</f>
        <v/>
      </c>
      <c r="O38" s="169">
        <f>A38*J38</f>
        <v/>
      </c>
      <c r="P38" s="169">
        <f>A38*K38</f>
        <v/>
      </c>
      <c r="Q38" s="169">
        <f>A38*L38</f>
        <v/>
      </c>
      <c r="R38" s="169">
        <f>1-P38</f>
        <v/>
      </c>
      <c r="S38" s="169">
        <f>1-Q38</f>
        <v/>
      </c>
      <c r="T38" s="169" t="n"/>
    </row>
    <row r="39" ht="15" customHeight="1">
      <c r="A39" s="169" t="n"/>
      <c r="B39" s="167" t="n"/>
      <c r="C39" s="14" t="inlineStr">
        <is>
          <t>5.29 Information security during disruption</t>
        </is>
      </c>
      <c r="D39" s="11" t="inlineStr">
        <is>
          <t>ISO/IEC 27002:2022</t>
        </is>
      </c>
      <c r="E39" s="11" t="n">
        <v>29</v>
      </c>
      <c r="F39" s="15" t="n"/>
      <c r="G39" s="15" t="n"/>
      <c r="H39" s="11" t="n">
        <v>20000</v>
      </c>
      <c r="I39" s="15" t="n">
        <v>1000</v>
      </c>
      <c r="J39" s="12" t="n">
        <v>0.02</v>
      </c>
      <c r="K39" s="11" t="n">
        <v>0.01</v>
      </c>
      <c r="L39" s="13" t="n">
        <v>0.01</v>
      </c>
      <c r="M39" s="167" t="n"/>
      <c r="N39" s="169">
        <f>A39*((SUM(F39:I39))+(J39*1950*80))</f>
        <v/>
      </c>
      <c r="O39" s="169">
        <f>A39*J39</f>
        <v/>
      </c>
      <c r="P39" s="169">
        <f>A39*K39</f>
        <v/>
      </c>
      <c r="Q39" s="169">
        <f>A39*L39</f>
        <v/>
      </c>
      <c r="R39" s="169">
        <f>1-P39</f>
        <v/>
      </c>
      <c r="S39" s="169">
        <f>1-Q39</f>
        <v/>
      </c>
      <c r="T39" s="169" t="n"/>
    </row>
    <row r="40" ht="15" customHeight="1">
      <c r="A40" s="169" t="n"/>
      <c r="B40" s="167" t="n"/>
      <c r="C40" s="14" t="inlineStr">
        <is>
          <t>5.30 ICT readiness for business continuity</t>
        </is>
      </c>
      <c r="D40" s="11" t="inlineStr">
        <is>
          <t>ISO/IEC 27002:2022</t>
        </is>
      </c>
      <c r="E40" s="11" t="n">
        <v>30</v>
      </c>
      <c r="F40" s="15" t="n"/>
      <c r="G40" s="15" t="n"/>
      <c r="H40" s="11" t="n">
        <v>10000</v>
      </c>
      <c r="I40" s="15" t="n">
        <v>1000</v>
      </c>
      <c r="J40" s="12" t="n">
        <v>0.02</v>
      </c>
      <c r="K40" s="11" t="n">
        <v>0.01</v>
      </c>
      <c r="L40" s="13" t="n">
        <v>0.01</v>
      </c>
      <c r="M40" s="167" t="n"/>
      <c r="N40" s="169">
        <f>A40*((SUM(F40:I40))+(J40*1950*80))</f>
        <v/>
      </c>
      <c r="O40" s="169">
        <f>A40*J40</f>
        <v/>
      </c>
      <c r="P40" s="169">
        <f>A40*K40</f>
        <v/>
      </c>
      <c r="Q40" s="169">
        <f>A40*L40</f>
        <v/>
      </c>
      <c r="R40" s="169">
        <f>1-P40</f>
        <v/>
      </c>
      <c r="S40" s="169">
        <f>1-Q40</f>
        <v/>
      </c>
      <c r="T40" s="169" t="n"/>
    </row>
    <row r="41" ht="15" customHeight="1">
      <c r="A41" s="169" t="n"/>
      <c r="B41" s="167" t="n"/>
      <c r="C41" s="14" t="inlineStr">
        <is>
          <t>5.31 Legal, statutory, regulatory and contractual requirements</t>
        </is>
      </c>
      <c r="D41" s="11" t="inlineStr">
        <is>
          <t>ISO/IEC 27002:2022</t>
        </is>
      </c>
      <c r="E41" s="11" t="n">
        <v>31</v>
      </c>
      <c r="F41" s="15" t="n"/>
      <c r="G41" s="15" t="n"/>
      <c r="H41" s="11" t="n">
        <v>10000</v>
      </c>
      <c r="I41" s="15" t="n">
        <v>1000</v>
      </c>
      <c r="J41" s="12" t="n">
        <v>0.02</v>
      </c>
      <c r="K41" s="11" t="n">
        <v>0.01</v>
      </c>
      <c r="L41" s="13" t="n">
        <v>0.01</v>
      </c>
      <c r="M41" s="167" t="n"/>
      <c r="N41" s="169">
        <f>A41*((SUM(F41:I41))+(J41*1950*80))</f>
        <v/>
      </c>
      <c r="O41" s="169">
        <f>A41*J41</f>
        <v/>
      </c>
      <c r="P41" s="169">
        <f>A41*K41</f>
        <v/>
      </c>
      <c r="Q41" s="169">
        <f>A41*L41</f>
        <v/>
      </c>
      <c r="R41" s="169">
        <f>1-P41</f>
        <v/>
      </c>
      <c r="S41" s="169">
        <f>1-Q41</f>
        <v/>
      </c>
      <c r="T41" s="169" t="n"/>
    </row>
    <row r="42" ht="15" customHeight="1">
      <c r="A42" s="169" t="n"/>
      <c r="B42" s="167" t="n"/>
      <c r="C42" s="14" t="inlineStr">
        <is>
          <t>5.32 Intellectual property rights</t>
        </is>
      </c>
      <c r="D42" s="11" t="inlineStr">
        <is>
          <t>ISO/IEC 27002:2022</t>
        </is>
      </c>
      <c r="E42" s="11" t="n">
        <v>32</v>
      </c>
      <c r="F42" s="15" t="n"/>
      <c r="G42" s="15" t="n"/>
      <c r="H42" s="11" t="n">
        <v>10000</v>
      </c>
      <c r="I42" s="15" t="n">
        <v>1000</v>
      </c>
      <c r="J42" s="12" t="n">
        <v>0.02</v>
      </c>
      <c r="K42" s="11" t="n">
        <v>0.01</v>
      </c>
      <c r="L42" s="13" t="n">
        <v>0.01</v>
      </c>
      <c r="M42" s="167" t="n"/>
      <c r="N42" s="169">
        <f>A42*((SUM(F42:I42))+(J42*1950*80))</f>
        <v/>
      </c>
      <c r="O42" s="169">
        <f>A42*J42</f>
        <v/>
      </c>
      <c r="P42" s="169">
        <f>A42*K42</f>
        <v/>
      </c>
      <c r="Q42" s="169">
        <f>A42*L42</f>
        <v/>
      </c>
      <c r="R42" s="169">
        <f>1-P42</f>
        <v/>
      </c>
      <c r="S42" s="169">
        <f>1-Q42</f>
        <v/>
      </c>
      <c r="T42" s="169" t="n"/>
    </row>
    <row r="43" ht="15" customHeight="1">
      <c r="A43" s="169" t="n"/>
      <c r="B43" s="167" t="n"/>
      <c r="C43" s="14" t="inlineStr">
        <is>
          <t>5.33 Protection of records</t>
        </is>
      </c>
      <c r="D43" s="11" t="inlineStr">
        <is>
          <t>ISO/IEC 27002:2022</t>
        </is>
      </c>
      <c r="E43" s="11" t="n">
        <v>33</v>
      </c>
      <c r="F43" s="15" t="n"/>
      <c r="G43" s="15" t="n"/>
      <c r="H43" s="11" t="n">
        <v>10000</v>
      </c>
      <c r="I43" s="15" t="n">
        <v>1000</v>
      </c>
      <c r="J43" s="12" t="n">
        <v>0.02</v>
      </c>
      <c r="K43" s="11" t="n">
        <v>0.01</v>
      </c>
      <c r="L43" s="13" t="n">
        <v>0.01</v>
      </c>
      <c r="M43" s="167" t="n"/>
      <c r="N43" s="169">
        <f>A43*((SUM(F43:I43))+(J43*1950*80))</f>
        <v/>
      </c>
      <c r="O43" s="169">
        <f>A43*J43</f>
        <v/>
      </c>
      <c r="P43" s="169">
        <f>A43*K43</f>
        <v/>
      </c>
      <c r="Q43" s="169">
        <f>A43*L43</f>
        <v/>
      </c>
      <c r="R43" s="169">
        <f>1-P43</f>
        <v/>
      </c>
      <c r="S43" s="169">
        <f>1-Q43</f>
        <v/>
      </c>
      <c r="T43" s="169" t="n"/>
    </row>
    <row r="44" ht="15" customHeight="1">
      <c r="A44" s="169" t="n"/>
      <c r="B44" s="167" t="n"/>
      <c r="C44" s="14" t="inlineStr">
        <is>
          <t>5.34 Privacy and protection of PII</t>
        </is>
      </c>
      <c r="D44" s="11" t="inlineStr">
        <is>
          <t>ISO/IEC 27002:2022</t>
        </is>
      </c>
      <c r="E44" s="11" t="n">
        <v>34</v>
      </c>
      <c r="F44" s="15" t="n"/>
      <c r="G44" s="15" t="n"/>
      <c r="H44" s="11" t="n">
        <v>10000</v>
      </c>
      <c r="I44" s="15" t="n">
        <v>1000</v>
      </c>
      <c r="J44" s="12" t="n">
        <v>0.02</v>
      </c>
      <c r="K44" s="11" t="n">
        <v>0.01</v>
      </c>
      <c r="L44" s="13" t="n">
        <v>0.01</v>
      </c>
      <c r="M44" s="167" t="n"/>
      <c r="N44" s="169">
        <f>A44*((SUM(F44:I44))+(J44*1950*80))</f>
        <v/>
      </c>
      <c r="O44" s="169">
        <f>A44*J44</f>
        <v/>
      </c>
      <c r="P44" s="169">
        <f>A44*K44</f>
        <v/>
      </c>
      <c r="Q44" s="169">
        <f>A44*L44</f>
        <v/>
      </c>
      <c r="R44" s="169">
        <f>1-P44</f>
        <v/>
      </c>
      <c r="S44" s="169">
        <f>1-Q44</f>
        <v/>
      </c>
      <c r="T44" s="169" t="n"/>
    </row>
    <row r="45" ht="15" customHeight="1">
      <c r="A45" s="169" t="n"/>
      <c r="B45" s="167" t="n"/>
      <c r="C45" s="14" t="inlineStr">
        <is>
          <t>5.35 Independent review of information security</t>
        </is>
      </c>
      <c r="D45" s="11" t="inlineStr">
        <is>
          <t>ISO/IEC 27002:2022</t>
        </is>
      </c>
      <c r="E45" s="11" t="n">
        <v>35</v>
      </c>
      <c r="F45" s="15" t="n"/>
      <c r="G45" s="15" t="n"/>
      <c r="H45" s="11" t="n">
        <v>10000</v>
      </c>
      <c r="I45" s="15" t="n">
        <v>10000</v>
      </c>
      <c r="J45" s="12" t="n">
        <v>0.02</v>
      </c>
      <c r="K45" s="11" t="n">
        <v>0.01</v>
      </c>
      <c r="L45" s="13" t="n">
        <v>0.01</v>
      </c>
      <c r="M45" s="167" t="n"/>
      <c r="N45" s="169">
        <f>A45*((SUM(F45:I45))+(J45*1950*80))</f>
        <v/>
      </c>
      <c r="O45" s="169">
        <f>A45*J45</f>
        <v/>
      </c>
      <c r="P45" s="169">
        <f>A45*K45</f>
        <v/>
      </c>
      <c r="Q45" s="169">
        <f>A45*L45</f>
        <v/>
      </c>
      <c r="R45" s="169">
        <f>1-P45</f>
        <v/>
      </c>
      <c r="S45" s="169">
        <f>1-Q45</f>
        <v/>
      </c>
      <c r="T45" s="169" t="n"/>
    </row>
    <row r="46" ht="15" customHeight="1" thickBot="1">
      <c r="A46" s="169" t="n"/>
      <c r="B46" s="167" t="n"/>
      <c r="C46" s="14" t="inlineStr">
        <is>
          <t>5.36 Compliance with policies, rules and standards for information security</t>
        </is>
      </c>
      <c r="D46" s="11" t="inlineStr">
        <is>
          <t>ISO/IEC 27002:2022</t>
        </is>
      </c>
      <c r="E46" s="11" t="n">
        <v>36</v>
      </c>
      <c r="F46" s="15" t="n"/>
      <c r="G46" s="15" t="n"/>
      <c r="H46" s="11" t="n">
        <v>10000</v>
      </c>
      <c r="I46" s="15" t="n">
        <v>10000</v>
      </c>
      <c r="J46" s="12" t="n">
        <v>0.02</v>
      </c>
      <c r="K46" s="11" t="n">
        <v>0.01</v>
      </c>
      <c r="L46" s="13" t="n">
        <v>0.01</v>
      </c>
      <c r="M46" s="167" t="n"/>
      <c r="N46" s="169">
        <f>A46*((SUM(F46:I46))+(J46*1950*80))</f>
        <v/>
      </c>
      <c r="O46" s="169">
        <f>A46*J46</f>
        <v/>
      </c>
      <c r="P46" s="169">
        <f>A46*K46</f>
        <v/>
      </c>
      <c r="Q46" s="169">
        <f>A46*L46</f>
        <v/>
      </c>
      <c r="R46" s="169">
        <f>1-P46</f>
        <v/>
      </c>
      <c r="S46" s="169">
        <f>1-Q46</f>
        <v/>
      </c>
      <c r="T46" s="169" t="n"/>
    </row>
    <row r="47" ht="15" customHeight="1" thickBot="1">
      <c r="A47" s="169" t="n"/>
      <c r="B47" s="167" t="n"/>
      <c r="C47" s="14" t="inlineStr">
        <is>
          <t>5.37 Documented operating procedures</t>
        </is>
      </c>
      <c r="D47" s="11" t="inlineStr">
        <is>
          <t>ISO/IEC 27002:2022</t>
        </is>
      </c>
      <c r="E47" s="11" t="n">
        <v>37</v>
      </c>
      <c r="F47" s="15" t="n"/>
      <c r="G47" s="15" t="n"/>
      <c r="H47" s="11" t="n">
        <v>50000</v>
      </c>
      <c r="I47" s="15" t="n">
        <v>100</v>
      </c>
      <c r="J47" s="12" t="n">
        <v>0.01</v>
      </c>
      <c r="K47" s="11" t="n">
        <v>0.06</v>
      </c>
      <c r="L47" s="13" t="n">
        <v>0.06</v>
      </c>
      <c r="M47" s="167" t="n"/>
      <c r="N47" s="169">
        <f>A47*((SUM(F47:I47))+(J47*1950*80))</f>
        <v/>
      </c>
      <c r="O47" s="169">
        <f>A47*J47</f>
        <v/>
      </c>
      <c r="P47" s="169">
        <f>A47*K47</f>
        <v/>
      </c>
      <c r="Q47" s="169">
        <f>A47*L47</f>
        <v/>
      </c>
      <c r="R47" s="169">
        <f>1-P47</f>
        <v/>
      </c>
      <c r="S47" s="169">
        <f>1-Q47</f>
        <v/>
      </c>
      <c r="T47" s="169" t="n"/>
    </row>
    <row r="48" ht="15" customHeight="1">
      <c r="A48" s="167" t="n"/>
      <c r="B48" s="167" t="n"/>
      <c r="C48" s="168" t="inlineStr">
        <is>
          <t>6 People controls / Mesures liées aux personnes</t>
        </is>
      </c>
      <c r="D48" s="22" t="n"/>
      <c r="E48" s="22" t="n"/>
      <c r="F48" s="22" t="n"/>
      <c r="G48" s="22" t="n"/>
      <c r="H48" s="22" t="n"/>
      <c r="I48" s="22" t="n"/>
      <c r="J48" s="27" t="n"/>
      <c r="K48" s="22" t="n"/>
      <c r="L48" s="28" t="n"/>
      <c r="M48" s="167" t="n"/>
      <c r="N48" s="167" t="n"/>
      <c r="O48" s="167" t="n"/>
      <c r="P48" s="167" t="n"/>
      <c r="Q48" s="167" t="n"/>
      <c r="R48" s="167" t="n"/>
      <c r="S48" s="169" t="n"/>
      <c r="T48" s="169" t="n"/>
    </row>
    <row r="49" ht="15" customHeight="1">
      <c r="A49" s="169" t="n"/>
      <c r="B49" s="167" t="n"/>
      <c r="C49" s="14" t="inlineStr">
        <is>
          <t>6.1 Screening</t>
        </is>
      </c>
      <c r="D49" s="11" t="inlineStr">
        <is>
          <t>ISO/IEC 27002:2022</t>
        </is>
      </c>
      <c r="E49" s="11" t="n">
        <v>38</v>
      </c>
      <c r="F49" s="15" t="n"/>
      <c r="G49" s="15" t="n"/>
      <c r="H49" s="11" t="n">
        <v>5000</v>
      </c>
      <c r="I49" s="15" t="n">
        <v>500</v>
      </c>
      <c r="J49" s="12" t="n">
        <v>0.01</v>
      </c>
      <c r="K49" s="11" t="n">
        <v>0.01</v>
      </c>
      <c r="L49" s="13" t="n">
        <v>0.01</v>
      </c>
      <c r="M49" s="167" t="n"/>
      <c r="N49" s="169">
        <f>A49*((SUM(F49:I49))+(J49*1950*80))</f>
        <v/>
      </c>
      <c r="O49" s="169">
        <f>A49*J49</f>
        <v/>
      </c>
      <c r="P49" s="169">
        <f>A49*K49</f>
        <v/>
      </c>
      <c r="Q49" s="169">
        <f>A49*L49</f>
        <v/>
      </c>
      <c r="R49" s="169">
        <f>1-P49</f>
        <v/>
      </c>
      <c r="S49" s="169">
        <f>1-Q49</f>
        <v/>
      </c>
      <c r="T49" s="169" t="n"/>
    </row>
    <row r="50" ht="15" customHeight="1">
      <c r="A50" s="169" t="n"/>
      <c r="B50" s="167" t="n"/>
      <c r="C50" s="14" t="inlineStr">
        <is>
          <t>6.2 Terms and conditions of employment</t>
        </is>
      </c>
      <c r="D50" s="11" t="inlineStr">
        <is>
          <t>ISO/IEC 27002:2022</t>
        </is>
      </c>
      <c r="E50" s="11" t="n">
        <v>39</v>
      </c>
      <c r="F50" s="15" t="n"/>
      <c r="G50" s="15" t="n"/>
      <c r="H50" s="11" t="n">
        <v>5000</v>
      </c>
      <c r="I50" s="15" t="n"/>
      <c r="J50" s="12" t="n">
        <v>0.01</v>
      </c>
      <c r="K50" s="11" t="n">
        <v>0.01</v>
      </c>
      <c r="L50" s="13" t="n">
        <v>0.01</v>
      </c>
      <c r="M50" s="167" t="n"/>
      <c r="N50" s="169">
        <f>A50*((SUM(F50:I50))+(J50*1950*80))</f>
        <v/>
      </c>
      <c r="O50" s="169">
        <f>A50*J50</f>
        <v/>
      </c>
      <c r="P50" s="169">
        <f>A50*K50</f>
        <v/>
      </c>
      <c r="Q50" s="169">
        <f>A50*L50</f>
        <v/>
      </c>
      <c r="R50" s="169">
        <f>1-P50</f>
        <v/>
      </c>
      <c r="S50" s="169">
        <f>1-Q50</f>
        <v/>
      </c>
      <c r="T50" s="169" t="n"/>
    </row>
    <row r="51" ht="15" customHeight="1">
      <c r="A51" s="169" t="n"/>
      <c r="B51" s="167" t="n"/>
      <c r="C51" s="14" t="inlineStr">
        <is>
          <t>6.3 Information security awareness, education and training</t>
        </is>
      </c>
      <c r="D51" s="11" t="inlineStr">
        <is>
          <t>ISO/IEC 27002:2022</t>
        </is>
      </c>
      <c r="E51" s="11" t="n">
        <v>40</v>
      </c>
      <c r="F51" s="15" t="n"/>
      <c r="G51" s="15" t="n"/>
      <c r="H51" s="11" t="n">
        <v>30000</v>
      </c>
      <c r="I51" s="15" t="n">
        <v>500</v>
      </c>
      <c r="J51" s="12" t="n">
        <v>0.01</v>
      </c>
      <c r="K51" s="11" t="n">
        <v>0.06</v>
      </c>
      <c r="L51" s="13" t="n">
        <v>0.06</v>
      </c>
      <c r="M51" s="167" t="n"/>
      <c r="N51" s="169">
        <f>A51*((SUM(F51:I51))+(J51*1950*80))</f>
        <v/>
      </c>
      <c r="O51" s="169">
        <f>A51*J51</f>
        <v/>
      </c>
      <c r="P51" s="169">
        <f>A51*K51</f>
        <v/>
      </c>
      <c r="Q51" s="169">
        <f>A51*L51</f>
        <v/>
      </c>
      <c r="R51" s="169">
        <f>1-P51</f>
        <v/>
      </c>
      <c r="S51" s="169">
        <f>1-Q51</f>
        <v/>
      </c>
      <c r="T51" s="169" t="n"/>
    </row>
    <row r="52" ht="15" customHeight="1">
      <c r="A52" s="169" t="n"/>
      <c r="B52" s="167" t="n"/>
      <c r="C52" s="14" t="inlineStr">
        <is>
          <t>6.4 Disciplinary process</t>
        </is>
      </c>
      <c r="D52" s="11" t="inlineStr">
        <is>
          <t>ISO/IEC 27002:2022</t>
        </is>
      </c>
      <c r="E52" s="11" t="n">
        <v>41</v>
      </c>
      <c r="F52" s="15" t="n"/>
      <c r="G52" s="15" t="n"/>
      <c r="H52" s="11" t="n">
        <v>10000</v>
      </c>
      <c r="I52" s="15" t="n">
        <v>500</v>
      </c>
      <c r="J52" s="12" t="n">
        <v>0.01</v>
      </c>
      <c r="K52" s="11" t="n">
        <v>0.01</v>
      </c>
      <c r="L52" s="13" t="n">
        <v>0.01</v>
      </c>
      <c r="M52" s="167" t="n"/>
      <c r="N52" s="169">
        <f>A52*((SUM(F52:I52))+(J52*1950*80))</f>
        <v/>
      </c>
      <c r="O52" s="169">
        <f>A52*J52</f>
        <v/>
      </c>
      <c r="P52" s="169">
        <f>A52*K52</f>
        <v/>
      </c>
      <c r="Q52" s="169">
        <f>A52*L52</f>
        <v/>
      </c>
      <c r="R52" s="169">
        <f>1-P52</f>
        <v/>
      </c>
      <c r="S52" s="169">
        <f>1-Q52</f>
        <v/>
      </c>
      <c r="T52" s="169" t="n"/>
    </row>
    <row r="53" ht="15" customHeight="1">
      <c r="A53" s="169" t="n"/>
      <c r="B53" s="167" t="n"/>
      <c r="C53" s="14" t="inlineStr">
        <is>
          <t>6.5 Responsibilities after termination or change of employment</t>
        </is>
      </c>
      <c r="D53" s="11" t="inlineStr">
        <is>
          <t>ISO/IEC 27002:2022</t>
        </is>
      </c>
      <c r="E53" s="11" t="n">
        <v>42</v>
      </c>
      <c r="F53" s="15" t="n"/>
      <c r="G53" s="15" t="n"/>
      <c r="H53" s="11" t="n">
        <v>5000</v>
      </c>
      <c r="I53" s="15" t="n">
        <v>500</v>
      </c>
      <c r="J53" s="12" t="n">
        <v>0.01</v>
      </c>
      <c r="K53" s="11" t="n">
        <v>0.05</v>
      </c>
      <c r="L53" s="13" t="n">
        <v>0.02</v>
      </c>
      <c r="M53" s="167" t="n"/>
      <c r="N53" s="169">
        <f>A53*((SUM(F53:I53))+(J53*1950*80))</f>
        <v/>
      </c>
      <c r="O53" s="169">
        <f>A53*J53</f>
        <v/>
      </c>
      <c r="P53" s="169">
        <f>A53*K53</f>
        <v/>
      </c>
      <c r="Q53" s="169">
        <f>A53*L53</f>
        <v/>
      </c>
      <c r="R53" s="169">
        <f>1-P53</f>
        <v/>
      </c>
      <c r="S53" s="169">
        <f>1-Q53</f>
        <v/>
      </c>
      <c r="T53" s="169" t="n"/>
    </row>
    <row r="54" ht="15" customHeight="1">
      <c r="A54" s="169" t="n"/>
      <c r="B54" s="167" t="n"/>
      <c r="C54" s="14" t="inlineStr">
        <is>
          <t>6.6 Confidentiality or non-disclosure agreements</t>
        </is>
      </c>
      <c r="D54" s="11" t="inlineStr">
        <is>
          <t>ISO/IEC 27002:2022</t>
        </is>
      </c>
      <c r="E54" s="11" t="n">
        <v>43</v>
      </c>
      <c r="F54" s="15" t="n"/>
      <c r="G54" s="15" t="n"/>
      <c r="H54" s="11" t="n">
        <v>20000</v>
      </c>
      <c r="I54" s="15" t="n">
        <v>1000</v>
      </c>
      <c r="J54" s="12" t="n">
        <v>0.02</v>
      </c>
      <c r="K54" s="11" t="n">
        <v>0.02</v>
      </c>
      <c r="L54" s="13" t="n">
        <v>0.02</v>
      </c>
      <c r="M54" s="167" t="n"/>
      <c r="N54" s="169">
        <f>A54*((SUM(F54:I54))+(J54*1950*80))</f>
        <v/>
      </c>
      <c r="O54" s="169">
        <f>A54*J54</f>
        <v/>
      </c>
      <c r="P54" s="169">
        <f>A54*K54</f>
        <v/>
      </c>
      <c r="Q54" s="169">
        <f>A54*L54</f>
        <v/>
      </c>
      <c r="R54" s="169">
        <f>1-P54</f>
        <v/>
      </c>
      <c r="S54" s="169">
        <f>1-Q54</f>
        <v/>
      </c>
      <c r="T54" s="169" t="n"/>
    </row>
    <row r="55" ht="15" customHeight="1">
      <c r="A55" s="169" t="n"/>
      <c r="B55" s="167" t="n"/>
      <c r="C55" s="14" t="inlineStr">
        <is>
          <t>6.7 Remote working</t>
        </is>
      </c>
      <c r="D55" s="11" t="inlineStr">
        <is>
          <t>ISO/IEC 27002:2022</t>
        </is>
      </c>
      <c r="E55" s="11" t="n">
        <v>44</v>
      </c>
      <c r="F55" s="15" t="n"/>
      <c r="G55" s="15" t="n"/>
      <c r="H55" s="11" t="n">
        <v>5000</v>
      </c>
      <c r="I55" s="15" t="n">
        <v>2000</v>
      </c>
      <c r="J55" s="12" t="n">
        <v>0.05</v>
      </c>
      <c r="K55" s="11" t="n">
        <v>0.01</v>
      </c>
      <c r="L55" s="13" t="n">
        <v>0.01</v>
      </c>
      <c r="M55" s="167" t="n"/>
      <c r="N55" s="169">
        <f>A55*((SUM(F55:I55))+(J55*1950*80))</f>
        <v/>
      </c>
      <c r="O55" s="169">
        <f>A55*J55</f>
        <v/>
      </c>
      <c r="P55" s="169">
        <f>A55*K55</f>
        <v/>
      </c>
      <c r="Q55" s="169">
        <f>A55*L55</f>
        <v/>
      </c>
      <c r="R55" s="169">
        <f>1-P55</f>
        <v/>
      </c>
      <c r="S55" s="169">
        <f>1-Q55</f>
        <v/>
      </c>
      <c r="T55" s="169" t="n"/>
    </row>
    <row r="56" ht="15" customHeight="1">
      <c r="A56" s="169" t="n"/>
      <c r="B56" s="167" t="n"/>
      <c r="C56" s="14" t="inlineStr">
        <is>
          <t>6.8 Information security event reporting</t>
        </is>
      </c>
      <c r="D56" s="11" t="inlineStr">
        <is>
          <t>ISO/IEC 27002:2022</t>
        </is>
      </c>
      <c r="E56" s="11" t="n">
        <v>45</v>
      </c>
      <c r="F56" s="15" t="n"/>
      <c r="G56" s="15" t="n"/>
      <c r="H56" s="11" t="n">
        <v>10000</v>
      </c>
      <c r="I56" s="15" t="n">
        <v>1000</v>
      </c>
      <c r="J56" s="12" t="n">
        <v>0.02</v>
      </c>
      <c r="K56" s="11" t="n">
        <v>0.01</v>
      </c>
      <c r="L56" s="13" t="n">
        <v>0.01</v>
      </c>
      <c r="M56" s="167" t="n"/>
      <c r="N56" s="169">
        <f>A56*((SUM(F56:I56))+(J56*1950*80))</f>
        <v/>
      </c>
      <c r="O56" s="169">
        <f>A56*J56</f>
        <v/>
      </c>
      <c r="P56" s="169">
        <f>A56*K56</f>
        <v/>
      </c>
      <c r="Q56" s="169">
        <f>A56*L56</f>
        <v/>
      </c>
      <c r="R56" s="169">
        <f>1-P56</f>
        <v/>
      </c>
      <c r="S56" s="169">
        <f>1-Q56</f>
        <v/>
      </c>
      <c r="T56" s="169" t="n"/>
    </row>
    <row r="57" ht="15" customHeight="1">
      <c r="A57" s="167" t="n"/>
      <c r="B57" s="167" t="n"/>
      <c r="C57" s="168" t="inlineStr">
        <is>
          <t>7 Physical controls / Mesures physiques</t>
        </is>
      </c>
      <c r="D57" s="22" t="n"/>
      <c r="E57" s="22" t="n"/>
      <c r="F57" s="22" t="n"/>
      <c r="G57" s="22" t="n"/>
      <c r="H57" s="22" t="n"/>
      <c r="I57" s="22" t="n"/>
      <c r="J57" s="27" t="n"/>
      <c r="K57" s="22" t="n"/>
      <c r="L57" s="28" t="n"/>
      <c r="M57" s="167" t="n"/>
      <c r="N57" s="167" t="n"/>
      <c r="O57" s="167" t="n"/>
      <c r="P57" s="167" t="n"/>
      <c r="Q57" s="167" t="n"/>
      <c r="R57" s="167" t="n"/>
      <c r="S57" s="169" t="n"/>
      <c r="T57" s="169" t="n"/>
    </row>
    <row r="58" ht="15" customHeight="1">
      <c r="A58" s="169" t="n"/>
      <c r="B58" s="167" t="n"/>
      <c r="C58" s="14" t="inlineStr">
        <is>
          <t>7.1 Physical security perimeters</t>
        </is>
      </c>
      <c r="D58" s="11" t="inlineStr">
        <is>
          <t>ISO/IEC 27002:2022</t>
        </is>
      </c>
      <c r="E58" s="11" t="n">
        <v>46</v>
      </c>
      <c r="F58" s="15" t="n">
        <v>10000</v>
      </c>
      <c r="G58" s="15" t="n">
        <v>50000</v>
      </c>
      <c r="H58" s="11" t="n">
        <v>10000</v>
      </c>
      <c r="I58" s="15" t="n">
        <v>500</v>
      </c>
      <c r="J58" s="12" t="n">
        <v>0.02</v>
      </c>
      <c r="K58" s="11" t="n">
        <v>0.06</v>
      </c>
      <c r="L58" s="13" t="n">
        <v>0.06</v>
      </c>
      <c r="M58" s="167" t="n"/>
      <c r="N58" s="169">
        <f>A58*((SUM(F58:I58))+(J58*1950*80))</f>
        <v/>
      </c>
      <c r="O58" s="169">
        <f>A58*J58</f>
        <v/>
      </c>
      <c r="P58" s="169">
        <f>A58*K58</f>
        <v/>
      </c>
      <c r="Q58" s="169">
        <f>A58*L58</f>
        <v/>
      </c>
      <c r="R58" s="169">
        <f>1-P58</f>
        <v/>
      </c>
      <c r="S58" s="169">
        <f>1-Q58</f>
        <v/>
      </c>
      <c r="T58" s="169" t="n"/>
    </row>
    <row r="59" ht="15" customHeight="1">
      <c r="A59" s="169" t="n"/>
      <c r="B59" s="167" t="n"/>
      <c r="C59" s="14" t="inlineStr">
        <is>
          <t>7.2 Physical entry</t>
        </is>
      </c>
      <c r="D59" s="11" t="inlineStr">
        <is>
          <t>ISO/IEC 27002:2022</t>
        </is>
      </c>
      <c r="E59" s="11" t="n">
        <v>47</v>
      </c>
      <c r="F59" s="15" t="n">
        <v>10000</v>
      </c>
      <c r="G59" s="15" t="n">
        <v>50000</v>
      </c>
      <c r="H59" s="11" t="n">
        <v>10000</v>
      </c>
      <c r="I59" s="15" t="n">
        <v>500</v>
      </c>
      <c r="J59" s="12" t="n">
        <v>0.02</v>
      </c>
      <c r="K59" s="11" t="n">
        <v>0.06</v>
      </c>
      <c r="L59" s="13" t="n">
        <v>0.06</v>
      </c>
      <c r="M59" s="167" t="n"/>
      <c r="N59" s="169">
        <f>A59*((SUM(F59:I59))+(J59*1950*80))</f>
        <v/>
      </c>
      <c r="O59" s="169">
        <f>A59*J59</f>
        <v/>
      </c>
      <c r="P59" s="169">
        <f>A59*K59</f>
        <v/>
      </c>
      <c r="Q59" s="169">
        <f>A59*L59</f>
        <v/>
      </c>
      <c r="R59" s="169">
        <f>1-P59</f>
        <v/>
      </c>
      <c r="S59" s="169">
        <f>1-Q59</f>
        <v/>
      </c>
      <c r="T59" s="169" t="n"/>
    </row>
    <row r="60" ht="15" customHeight="1">
      <c r="A60" s="169" t="n"/>
      <c r="B60" s="167" t="n"/>
      <c r="C60" s="14" t="inlineStr">
        <is>
          <t>7.3 Securing offices, rooms and facilities</t>
        </is>
      </c>
      <c r="D60" s="11" t="inlineStr">
        <is>
          <t>ISO/IEC 27002:2022</t>
        </is>
      </c>
      <c r="E60" s="11" t="n">
        <v>48</v>
      </c>
      <c r="F60" s="15" t="n">
        <v>10000</v>
      </c>
      <c r="G60" s="15" t="n">
        <v>50000</v>
      </c>
      <c r="H60" s="11" t="n">
        <v>10000</v>
      </c>
      <c r="I60" s="15" t="n">
        <v>500</v>
      </c>
      <c r="J60" s="12" t="n">
        <v>0.02</v>
      </c>
      <c r="K60" s="11" t="n">
        <v>0.01</v>
      </c>
      <c r="L60" s="13" t="n">
        <v>0.01</v>
      </c>
      <c r="M60" s="167" t="n"/>
      <c r="N60" s="169">
        <f>A60*((SUM(F60:I60))+(J60*1950*80))</f>
        <v/>
      </c>
      <c r="O60" s="169">
        <f>A60*J60</f>
        <v/>
      </c>
      <c r="P60" s="169">
        <f>A60*K60</f>
        <v/>
      </c>
      <c r="Q60" s="169">
        <f>A60*L60</f>
        <v/>
      </c>
      <c r="R60" s="169">
        <f>1-P60</f>
        <v/>
      </c>
      <c r="S60" s="169">
        <f>1-Q60</f>
        <v/>
      </c>
      <c r="T60" s="169" t="n"/>
    </row>
    <row r="61" ht="15" customHeight="1">
      <c r="A61" s="169" t="n"/>
      <c r="B61" s="167" t="n"/>
      <c r="C61" s="14" t="inlineStr">
        <is>
          <t>7.4 Physical security monitoring</t>
        </is>
      </c>
      <c r="D61" s="11" t="inlineStr">
        <is>
          <t>ISO/IEC 27002:2022</t>
        </is>
      </c>
      <c r="E61" s="11" t="n">
        <v>49</v>
      </c>
      <c r="F61" s="15" t="n"/>
      <c r="G61" s="15" t="n"/>
      <c r="H61" s="11" t="n">
        <v>10000</v>
      </c>
      <c r="I61" s="15" t="n">
        <v>1000</v>
      </c>
      <c r="J61" s="12" t="n">
        <v>0.02</v>
      </c>
      <c r="K61" s="11" t="n">
        <v>0.01</v>
      </c>
      <c r="L61" s="13" t="n">
        <v>0.01</v>
      </c>
      <c r="M61" s="167" t="n"/>
      <c r="N61" s="169">
        <f>A61*((SUM(F61:I61))+(J61*1950*80))</f>
        <v/>
      </c>
      <c r="O61" s="169">
        <f>A61*J61</f>
        <v/>
      </c>
      <c r="P61" s="169">
        <f>A61*K61</f>
        <v/>
      </c>
      <c r="Q61" s="169">
        <f>A61*L61</f>
        <v/>
      </c>
      <c r="R61" s="169">
        <f>1-P61</f>
        <v/>
      </c>
      <c r="S61" s="169">
        <f>1-Q61</f>
        <v/>
      </c>
      <c r="T61" s="169" t="n"/>
    </row>
    <row r="62" ht="15" customHeight="1">
      <c r="A62" s="169" t="n"/>
      <c r="B62" s="167" t="n"/>
      <c r="C62" s="14" t="inlineStr">
        <is>
          <t>7.5 Protecting against physical and environmental threats</t>
        </is>
      </c>
      <c r="D62" s="11" t="inlineStr">
        <is>
          <t>ISO/IEC 27002:2022</t>
        </is>
      </c>
      <c r="E62" s="11" t="n">
        <v>50</v>
      </c>
      <c r="F62" s="15" t="n">
        <v>10000</v>
      </c>
      <c r="G62" s="15" t="n">
        <v>50000</v>
      </c>
      <c r="H62" s="11" t="n">
        <v>10000</v>
      </c>
      <c r="I62" s="15" t="n">
        <v>100</v>
      </c>
      <c r="J62" s="12" t="n">
        <v>0.02</v>
      </c>
      <c r="K62" s="11" t="n">
        <v>0.06</v>
      </c>
      <c r="L62" s="13" t="n">
        <v>0.06</v>
      </c>
      <c r="M62" s="167" t="n"/>
      <c r="N62" s="169">
        <f>A62*((SUM(F62:I62))+(J62*1950*80))</f>
        <v/>
      </c>
      <c r="O62" s="169">
        <f>A62*J62</f>
        <v/>
      </c>
      <c r="P62" s="169">
        <f>A62*K62</f>
        <v/>
      </c>
      <c r="Q62" s="169">
        <f>A62*L62</f>
        <v/>
      </c>
      <c r="R62" s="169">
        <f>1-P62</f>
        <v/>
      </c>
      <c r="S62" s="169">
        <f>1-Q62</f>
        <v/>
      </c>
      <c r="T62" s="169" t="n"/>
    </row>
    <row r="63" ht="15" customHeight="1">
      <c r="A63" s="169" t="n"/>
      <c r="B63" s="167" t="n"/>
      <c r="C63" s="14" t="inlineStr">
        <is>
          <t>7.6 Working in secure areas</t>
        </is>
      </c>
      <c r="D63" s="11" t="inlineStr">
        <is>
          <t>ISO/IEC 27002:2022</t>
        </is>
      </c>
      <c r="E63" s="11" t="n">
        <v>51</v>
      </c>
      <c r="F63" s="15" t="n">
        <v>10000</v>
      </c>
      <c r="G63" s="15" t="n">
        <v>50000</v>
      </c>
      <c r="H63" s="11" t="n">
        <v>10000</v>
      </c>
      <c r="I63" s="15" t="n">
        <v>100</v>
      </c>
      <c r="J63" s="12" t="n">
        <v>0.02</v>
      </c>
      <c r="K63" s="11" t="n">
        <v>0.01</v>
      </c>
      <c r="L63" s="13" t="n">
        <v>0.01</v>
      </c>
      <c r="M63" s="167" t="n"/>
      <c r="N63" s="169">
        <f>A63*((SUM(F63:I63))+(J63*1950*80))</f>
        <v/>
      </c>
      <c r="O63" s="169">
        <f>A63*J63</f>
        <v/>
      </c>
      <c r="P63" s="169">
        <f>A63*K63</f>
        <v/>
      </c>
      <c r="Q63" s="169">
        <f>A63*L63</f>
        <v/>
      </c>
      <c r="R63" s="169">
        <f>1-P63</f>
        <v/>
      </c>
      <c r="S63" s="169">
        <f>1-Q63</f>
        <v/>
      </c>
      <c r="T63" s="169" t="n"/>
    </row>
    <row r="64" ht="15" customHeight="1">
      <c r="A64" s="169" t="n"/>
      <c r="B64" s="167" t="n"/>
      <c r="C64" s="14" t="inlineStr">
        <is>
          <t>7.7 Clear desk and clear screen</t>
        </is>
      </c>
      <c r="D64" s="11" t="inlineStr">
        <is>
          <t>ISO/IEC 27002:2022</t>
        </is>
      </c>
      <c r="E64" s="11" t="n">
        <v>52</v>
      </c>
      <c r="F64" s="15" t="n"/>
      <c r="G64" s="15" t="n"/>
      <c r="H64" s="11" t="n">
        <v>5000</v>
      </c>
      <c r="I64" s="15" t="n">
        <v>100</v>
      </c>
      <c r="J64" s="12" t="n">
        <v>0.01</v>
      </c>
      <c r="K64" s="11" t="n">
        <v>0.01</v>
      </c>
      <c r="L64" s="13" t="n">
        <v>0.01</v>
      </c>
      <c r="M64" s="167" t="n"/>
      <c r="N64" s="169">
        <f>A64*((SUM(F64:I64))+(J64*1950*80))</f>
        <v/>
      </c>
      <c r="O64" s="169">
        <f>A64*J64</f>
        <v/>
      </c>
      <c r="P64" s="169">
        <f>A64*K64</f>
        <v/>
      </c>
      <c r="Q64" s="169">
        <f>A64*L64</f>
        <v/>
      </c>
      <c r="R64" s="169">
        <f>1-P64</f>
        <v/>
      </c>
      <c r="S64" s="169">
        <f>1-Q64</f>
        <v/>
      </c>
      <c r="T64" s="169" t="n"/>
    </row>
    <row r="65" ht="15" customHeight="1" thickBot="1">
      <c r="A65" s="169" t="n"/>
      <c r="B65" s="167" t="n"/>
      <c r="C65" s="14" t="inlineStr">
        <is>
          <t>7.8 Equipment siting and protection</t>
        </is>
      </c>
      <c r="D65" s="11" t="inlineStr">
        <is>
          <t>ISO/IEC 27002:2022</t>
        </is>
      </c>
      <c r="E65" s="11" t="n">
        <v>53</v>
      </c>
      <c r="F65" s="15" t="n">
        <v>10000</v>
      </c>
      <c r="G65" s="15" t="n"/>
      <c r="H65" s="11" t="n">
        <v>10000</v>
      </c>
      <c r="I65" s="15" t="n">
        <v>500</v>
      </c>
      <c r="J65" s="12" t="n">
        <v>0.02</v>
      </c>
      <c r="K65" s="11" t="n">
        <v>0.06</v>
      </c>
      <c r="L65" s="13" t="n">
        <v>0.06</v>
      </c>
      <c r="M65" s="167" t="n"/>
      <c r="N65" s="169">
        <f>A65*((SUM(F65:I65))+(J65*1950*80))</f>
        <v/>
      </c>
      <c r="O65" s="169">
        <f>A65*J65</f>
        <v/>
      </c>
      <c r="P65" s="169">
        <f>A65*K65</f>
        <v/>
      </c>
      <c r="Q65" s="169">
        <f>A65*L65</f>
        <v/>
      </c>
      <c r="R65" s="169">
        <f>1-P65</f>
        <v/>
      </c>
      <c r="S65" s="169">
        <f>1-Q65</f>
        <v/>
      </c>
      <c r="T65" s="169" t="n"/>
    </row>
    <row r="66" ht="15" customHeight="1" thickBot="1">
      <c r="A66" s="169" t="n"/>
      <c r="B66" s="167" t="n"/>
      <c r="C66" s="14" t="inlineStr">
        <is>
          <t>7.9 Security of assets off-premises</t>
        </is>
      </c>
      <c r="D66" s="11" t="inlineStr">
        <is>
          <t>ISO/IEC 27002:2022</t>
        </is>
      </c>
      <c r="E66" s="11" t="n">
        <v>54</v>
      </c>
      <c r="F66" s="15" t="n"/>
      <c r="G66" s="15" t="n">
        <v>50000</v>
      </c>
      <c r="H66" s="11" t="n">
        <v>10000</v>
      </c>
      <c r="I66" s="15" t="n">
        <v>100</v>
      </c>
      <c r="J66" s="12" t="n">
        <v>0.01</v>
      </c>
      <c r="K66" s="11" t="n">
        <v>0.01</v>
      </c>
      <c r="L66" s="13" t="n">
        <v>0.01</v>
      </c>
      <c r="M66" s="167" t="n"/>
      <c r="N66" s="169">
        <f>A66*((SUM(F66:I66))+(J66*1950*80))</f>
        <v/>
      </c>
      <c r="O66" s="169">
        <f>A66*J66</f>
        <v/>
      </c>
      <c r="P66" s="169">
        <f>A66*K66</f>
        <v/>
      </c>
      <c r="Q66" s="169">
        <f>A66*L66</f>
        <v/>
      </c>
      <c r="R66" s="169">
        <f>1-P66</f>
        <v/>
      </c>
      <c r="S66" s="169">
        <f>1-Q66</f>
        <v/>
      </c>
      <c r="T66" s="169" t="n"/>
    </row>
    <row r="67" ht="15" customHeight="1">
      <c r="A67" s="169" t="n"/>
      <c r="B67" s="167" t="n"/>
      <c r="C67" s="14" t="inlineStr">
        <is>
          <t>7.10 Storage media</t>
        </is>
      </c>
      <c r="D67" s="11" t="inlineStr">
        <is>
          <t>ISO/IEC 27002:2022</t>
        </is>
      </c>
      <c r="E67" s="11" t="n">
        <v>55</v>
      </c>
      <c r="F67" s="15" t="n"/>
      <c r="G67" s="15" t="n">
        <v>5000</v>
      </c>
      <c r="H67" s="11" t="n">
        <v>5000</v>
      </c>
      <c r="I67" s="15" t="n">
        <v>100</v>
      </c>
      <c r="J67" s="12" t="n">
        <v>0.02</v>
      </c>
      <c r="K67" s="11" t="n">
        <v>0.01</v>
      </c>
      <c r="L67" s="13" t="n">
        <v>0.01</v>
      </c>
      <c r="M67" s="167" t="n"/>
      <c r="N67" s="169">
        <f>A67*((SUM(F67:I67))+(J67*1950*80))</f>
        <v/>
      </c>
      <c r="O67" s="169">
        <f>A67*J67</f>
        <v/>
      </c>
      <c r="P67" s="169">
        <f>A67*K67</f>
        <v/>
      </c>
      <c r="Q67" s="169">
        <f>A67*L67</f>
        <v/>
      </c>
      <c r="R67" s="169">
        <f>1-P67</f>
        <v/>
      </c>
      <c r="S67" s="169">
        <f>1-Q67</f>
        <v/>
      </c>
      <c r="T67" s="169" t="n"/>
    </row>
    <row r="68" ht="15" customHeight="1" thickBot="1">
      <c r="A68" s="169" t="n"/>
      <c r="B68" s="167" t="n"/>
      <c r="C68" s="14" t="inlineStr">
        <is>
          <t>7.11 Supporting utilities</t>
        </is>
      </c>
      <c r="D68" s="11" t="inlineStr">
        <is>
          <t>ISO/IEC 27002:2022</t>
        </is>
      </c>
      <c r="E68" s="11" t="n">
        <v>56</v>
      </c>
      <c r="F68" s="15" t="n">
        <v>10000</v>
      </c>
      <c r="G68" s="15" t="n">
        <v>50000</v>
      </c>
      <c r="H68" s="11" t="n">
        <v>10000</v>
      </c>
      <c r="I68" s="15" t="n">
        <v>100</v>
      </c>
      <c r="J68" s="12" t="n">
        <v>0.01</v>
      </c>
      <c r="K68" s="11" t="n">
        <v>0.01</v>
      </c>
      <c r="L68" s="13" t="n">
        <v>0.01</v>
      </c>
      <c r="M68" s="167" t="n"/>
      <c r="N68" s="169">
        <f>A68*((SUM(F68:I68))+(J68*1950*80))</f>
        <v/>
      </c>
      <c r="O68" s="169">
        <f>A68*J68</f>
        <v/>
      </c>
      <c r="P68" s="169">
        <f>A68*K68</f>
        <v/>
      </c>
      <c r="Q68" s="169">
        <f>A68*L68</f>
        <v/>
      </c>
      <c r="R68" s="169">
        <f>1-P68</f>
        <v/>
      </c>
      <c r="S68" s="169">
        <f>1-Q68</f>
        <v/>
      </c>
      <c r="T68" s="169" t="n"/>
    </row>
    <row r="69" ht="15" customHeight="1" thickBot="1">
      <c r="A69" s="169" t="n"/>
      <c r="B69" s="167" t="n"/>
      <c r="C69" s="14" t="inlineStr">
        <is>
          <t>7.12 Cabling security</t>
        </is>
      </c>
      <c r="D69" s="11" t="inlineStr">
        <is>
          <t>ISO/IEC 27002:2022</t>
        </is>
      </c>
      <c r="E69" s="11" t="n">
        <v>57</v>
      </c>
      <c r="F69" s="15" t="n">
        <v>10000</v>
      </c>
      <c r="G69" s="15" t="n">
        <v>50000</v>
      </c>
      <c r="H69" s="11" t="n">
        <v>10000</v>
      </c>
      <c r="I69" s="15" t="n">
        <v>100</v>
      </c>
      <c r="J69" s="12" t="n">
        <v>0.01</v>
      </c>
      <c r="K69" s="11" t="n">
        <v>0.01</v>
      </c>
      <c r="L69" s="13" t="n">
        <v>0.01</v>
      </c>
      <c r="M69" s="167" t="n"/>
      <c r="N69" s="169">
        <f>A69*((SUM(F69:I69))+(J69*1950*80))</f>
        <v/>
      </c>
      <c r="O69" s="169">
        <f>A69*J69</f>
        <v/>
      </c>
      <c r="P69" s="169">
        <f>A69*K69</f>
        <v/>
      </c>
      <c r="Q69" s="169">
        <f>A69*L69</f>
        <v/>
      </c>
      <c r="R69" s="169">
        <f>1-P69</f>
        <v/>
      </c>
      <c r="S69" s="169">
        <f>1-Q69</f>
        <v/>
      </c>
      <c r="T69" s="169" t="n"/>
    </row>
    <row r="70" ht="15" customHeight="1">
      <c r="A70" s="169" t="n"/>
      <c r="B70" s="167" t="n"/>
      <c r="C70" s="14" t="inlineStr">
        <is>
          <t>7.13 Equipment maintenance</t>
        </is>
      </c>
      <c r="D70" s="11" t="inlineStr">
        <is>
          <t>ISO/IEC 27002:2022</t>
        </is>
      </c>
      <c r="E70" s="11" t="n">
        <v>58</v>
      </c>
      <c r="F70" s="15" t="n">
        <v>10000</v>
      </c>
      <c r="G70" s="15" t="n">
        <v>50000</v>
      </c>
      <c r="H70" s="11" t="n">
        <v>10000</v>
      </c>
      <c r="I70" s="15" t="n">
        <v>500</v>
      </c>
      <c r="J70" s="12" t="n">
        <v>0.01</v>
      </c>
      <c r="K70" s="11" t="n">
        <v>0.01</v>
      </c>
      <c r="L70" s="13" t="n">
        <v>0.01</v>
      </c>
      <c r="M70" s="167" t="n"/>
      <c r="N70" s="169">
        <f>A70*((SUM(F70:I70))+(J70*1950*80))</f>
        <v/>
      </c>
      <c r="O70" s="169">
        <f>A70*J70</f>
        <v/>
      </c>
      <c r="P70" s="169">
        <f>A70*K70</f>
        <v/>
      </c>
      <c r="Q70" s="169">
        <f>A70*L70</f>
        <v/>
      </c>
      <c r="R70" s="169">
        <f>1-P70</f>
        <v/>
      </c>
      <c r="S70" s="169">
        <f>1-Q70</f>
        <v/>
      </c>
      <c r="T70" s="169" t="n"/>
    </row>
    <row r="71" ht="15" customHeight="1">
      <c r="A71" s="169" t="n"/>
      <c r="B71" s="167" t="n"/>
      <c r="C71" s="14" t="inlineStr">
        <is>
          <t>7.14 Secure disposal or re-use of equipment</t>
        </is>
      </c>
      <c r="D71" s="11" t="inlineStr">
        <is>
          <t>ISO/IEC 27002:2022</t>
        </is>
      </c>
      <c r="E71" s="11" t="n">
        <v>59</v>
      </c>
      <c r="F71" s="15" t="n"/>
      <c r="G71" s="15" t="n">
        <v>50000</v>
      </c>
      <c r="H71" s="11" t="n">
        <v>10000</v>
      </c>
      <c r="I71" s="15" t="n">
        <v>100</v>
      </c>
      <c r="J71" s="12" t="n">
        <v>0.01</v>
      </c>
      <c r="K71" s="11" t="n">
        <v>0.01</v>
      </c>
      <c r="L71" s="13" t="n">
        <v>0.01</v>
      </c>
      <c r="M71" s="167" t="n"/>
      <c r="N71" s="169">
        <f>A71*((SUM(F71:I71))+(J71*1950*80))</f>
        <v/>
      </c>
      <c r="O71" s="169">
        <f>A71*J71</f>
        <v/>
      </c>
      <c r="P71" s="169">
        <f>A71*K71</f>
        <v/>
      </c>
      <c r="Q71" s="169">
        <f>A71*L71</f>
        <v/>
      </c>
      <c r="R71" s="169">
        <f>1-P71</f>
        <v/>
      </c>
      <c r="S71" s="169">
        <f>1-Q71</f>
        <v/>
      </c>
      <c r="T71" s="169" t="n"/>
    </row>
    <row r="72" ht="15" customHeight="1">
      <c r="A72" s="167" t="n"/>
      <c r="B72" s="167" t="n"/>
      <c r="C72" s="168" t="inlineStr">
        <is>
          <t>8 Technological controls / Mesures technologiques</t>
        </is>
      </c>
      <c r="D72" s="22" t="n"/>
      <c r="E72" s="22" t="n"/>
      <c r="F72" s="22" t="n"/>
      <c r="G72" s="22" t="n"/>
      <c r="H72" s="22" t="n"/>
      <c r="I72" s="22" t="n"/>
      <c r="J72" s="27" t="n"/>
      <c r="K72" s="22" t="n"/>
      <c r="L72" s="28" t="n"/>
      <c r="M72" s="167" t="n"/>
      <c r="N72" s="167" t="n"/>
      <c r="O72" s="167" t="n"/>
      <c r="P72" s="167" t="n"/>
      <c r="Q72" s="167" t="n"/>
      <c r="R72" s="167" t="n"/>
      <c r="S72" s="169" t="n"/>
      <c r="T72" s="169" t="n"/>
    </row>
    <row r="73" ht="15" customHeight="1">
      <c r="A73" s="169" t="n"/>
      <c r="B73" s="167" t="n"/>
      <c r="C73" s="14" t="inlineStr">
        <is>
          <t>8.1 User end point devices</t>
        </is>
      </c>
      <c r="D73" s="11" t="inlineStr">
        <is>
          <t>ISO/IEC 27002:2022</t>
        </is>
      </c>
      <c r="E73" s="11" t="n">
        <v>60</v>
      </c>
      <c r="F73" s="15" t="n"/>
      <c r="G73" s="15" t="n"/>
      <c r="H73" s="11" t="n">
        <v>5000</v>
      </c>
      <c r="I73" s="15" t="n">
        <v>500</v>
      </c>
      <c r="J73" s="12" t="n">
        <v>0.01</v>
      </c>
      <c r="K73" s="11" t="n">
        <v>0.01</v>
      </c>
      <c r="L73" s="13" t="n">
        <v>0.01</v>
      </c>
      <c r="M73" s="167" t="n"/>
      <c r="N73" s="169">
        <f>A73*((SUM(F73:I73))+(J73*1950*80))</f>
        <v/>
      </c>
      <c r="O73" s="169">
        <f>A73*J73</f>
        <v/>
      </c>
      <c r="P73" s="169">
        <f>A73*K73</f>
        <v/>
      </c>
      <c r="Q73" s="169">
        <f>A73*L73</f>
        <v/>
      </c>
      <c r="R73" s="169">
        <f>1-P73</f>
        <v/>
      </c>
      <c r="S73" s="169">
        <f>1-Q73</f>
        <v/>
      </c>
      <c r="T73" s="169" t="n"/>
    </row>
    <row r="74" ht="15" customHeight="1">
      <c r="A74" s="169" t="n"/>
      <c r="B74" s="167" t="n"/>
      <c r="C74" s="14" t="inlineStr">
        <is>
          <t>8.2 Privileged access rights</t>
        </is>
      </c>
      <c r="D74" s="11" t="inlineStr">
        <is>
          <t>ISO/IEC 27002:2022</t>
        </is>
      </c>
      <c r="E74" s="11" t="n">
        <v>61</v>
      </c>
      <c r="F74" s="15" t="n"/>
      <c r="G74" s="15" t="n">
        <v>5000</v>
      </c>
      <c r="H74" s="11" t="n">
        <v>5000</v>
      </c>
      <c r="I74" s="15" t="n">
        <v>100</v>
      </c>
      <c r="J74" s="12" t="n">
        <v>0.01</v>
      </c>
      <c r="K74" s="11" t="n">
        <v>0.06</v>
      </c>
      <c r="L74" s="13" t="n">
        <v>0.06</v>
      </c>
      <c r="M74" s="167" t="n"/>
      <c r="N74" s="169">
        <f>A74*((SUM(F74:I74))+(J74*1950*80))</f>
        <v/>
      </c>
      <c r="O74" s="169">
        <f>A74*J74</f>
        <v/>
      </c>
      <c r="P74" s="169">
        <f>A74*K74</f>
        <v/>
      </c>
      <c r="Q74" s="169">
        <f>A74*L74</f>
        <v/>
      </c>
      <c r="R74" s="169">
        <f>1-P74</f>
        <v/>
      </c>
      <c r="S74" s="169">
        <f>1-Q74</f>
        <v/>
      </c>
      <c r="T74" s="169" t="n"/>
    </row>
    <row r="75" ht="15" customHeight="1">
      <c r="A75" s="169" t="n"/>
      <c r="B75" s="167" t="n"/>
      <c r="C75" s="14" t="inlineStr">
        <is>
          <t>8.3 Information access restriction</t>
        </is>
      </c>
      <c r="D75" s="11" t="inlineStr">
        <is>
          <t>ISO/IEC 27002:2022</t>
        </is>
      </c>
      <c r="E75" s="11" t="n">
        <v>62</v>
      </c>
      <c r="F75" s="15" t="n"/>
      <c r="G75" s="15" t="n">
        <v>5000</v>
      </c>
      <c r="H75" s="11" t="n">
        <v>5000</v>
      </c>
      <c r="I75" s="15" t="n">
        <v>100</v>
      </c>
      <c r="J75" s="12" t="n">
        <v>0.01</v>
      </c>
      <c r="K75" s="11" t="n">
        <v>0.065</v>
      </c>
      <c r="L75" s="13" t="n">
        <v>0.06</v>
      </c>
      <c r="M75" s="167" t="n"/>
      <c r="N75" s="169">
        <f>A75*((SUM(F75:I75))+(J75*1950*80))</f>
        <v/>
      </c>
      <c r="O75" s="169">
        <f>A75*J75</f>
        <v/>
      </c>
      <c r="P75" s="169">
        <f>A75*K75</f>
        <v/>
      </c>
      <c r="Q75" s="169">
        <f>A75*L75</f>
        <v/>
      </c>
      <c r="R75" s="169">
        <f>1-P75</f>
        <v/>
      </c>
      <c r="S75" s="169">
        <f>1-Q75</f>
        <v/>
      </c>
      <c r="T75" s="169" t="n"/>
    </row>
    <row r="76" ht="15" customHeight="1">
      <c r="A76" s="169" t="n"/>
      <c r="B76" s="167" t="n"/>
      <c r="C76" s="14" t="inlineStr">
        <is>
          <t>8.4 Access to source code</t>
        </is>
      </c>
      <c r="D76" s="11" t="inlineStr">
        <is>
          <t>ISO/IEC 27002:2022</t>
        </is>
      </c>
      <c r="E76" s="11" t="n">
        <v>63</v>
      </c>
      <c r="F76" s="15" t="n"/>
      <c r="G76" s="15" t="n">
        <v>5000</v>
      </c>
      <c r="H76" s="11" t="n">
        <v>5000</v>
      </c>
      <c r="I76" s="15" t="n">
        <v>100</v>
      </c>
      <c r="J76" s="12" t="n">
        <v>0.01</v>
      </c>
      <c r="K76" s="11" t="n">
        <v>0.01</v>
      </c>
      <c r="L76" s="13" t="n">
        <v>0.01</v>
      </c>
      <c r="M76" s="167" t="n"/>
      <c r="N76" s="169">
        <f>A76*((SUM(F76:I76))+(J76*1950*80))</f>
        <v/>
      </c>
      <c r="O76" s="169">
        <f>A76*J76</f>
        <v/>
      </c>
      <c r="P76" s="169">
        <f>A76*K76</f>
        <v/>
      </c>
      <c r="Q76" s="169">
        <f>A76*L76</f>
        <v/>
      </c>
      <c r="R76" s="169">
        <f>1-P76</f>
        <v/>
      </c>
      <c r="S76" s="169">
        <f>1-Q76</f>
        <v/>
      </c>
      <c r="T76" s="169" t="n"/>
    </row>
    <row r="77" ht="15" customHeight="1">
      <c r="A77" s="169" t="n"/>
      <c r="B77" s="167" t="n"/>
      <c r="C77" s="14" t="inlineStr">
        <is>
          <t>8.5 Secure authentication</t>
        </is>
      </c>
      <c r="D77" s="11" t="inlineStr">
        <is>
          <t>ISO/IEC 27002:2022</t>
        </is>
      </c>
      <c r="E77" s="11" t="n">
        <v>64</v>
      </c>
      <c r="F77" s="15" t="n"/>
      <c r="G77" s="15" t="n">
        <v>5000</v>
      </c>
      <c r="H77" s="11" t="n">
        <v>5000</v>
      </c>
      <c r="I77" s="15" t="n">
        <v>100</v>
      </c>
      <c r="J77" s="12" t="n">
        <v>0.01</v>
      </c>
      <c r="K77" s="11" t="n">
        <v>0.01</v>
      </c>
      <c r="L77" s="13" t="n">
        <v>0.01</v>
      </c>
      <c r="M77" s="167" t="n"/>
      <c r="N77" s="169">
        <f>A77*((SUM(F77:I77))+(J77*1950*80))</f>
        <v/>
      </c>
      <c r="O77" s="169">
        <f>A77*J77</f>
        <v/>
      </c>
      <c r="P77" s="169">
        <f>A77*K77</f>
        <v/>
      </c>
      <c r="Q77" s="169">
        <f>A77*L77</f>
        <v/>
      </c>
      <c r="R77" s="169">
        <f>1-P77</f>
        <v/>
      </c>
      <c r="S77" s="169">
        <f>1-Q77</f>
        <v/>
      </c>
      <c r="T77" s="169" t="n"/>
    </row>
    <row r="78" ht="15" customHeight="1">
      <c r="A78" s="169" t="n"/>
      <c r="B78" s="167" t="n"/>
      <c r="C78" s="14" t="inlineStr">
        <is>
          <t>8.6 Capacity management</t>
        </is>
      </c>
      <c r="D78" s="11" t="inlineStr">
        <is>
          <t>ISO/IEC 27002:2022</t>
        </is>
      </c>
      <c r="E78" s="11" t="n">
        <v>65</v>
      </c>
      <c r="F78" s="15" t="n"/>
      <c r="G78" s="15" t="n"/>
      <c r="H78" s="11" t="n">
        <v>50000</v>
      </c>
      <c r="I78" s="15" t="n">
        <v>100</v>
      </c>
      <c r="J78" s="12" t="n">
        <v>0.01</v>
      </c>
      <c r="K78" s="11" t="n">
        <v>0.01</v>
      </c>
      <c r="L78" s="13" t="n">
        <v>0.01</v>
      </c>
      <c r="M78" s="167" t="n"/>
      <c r="N78" s="169">
        <f>A78*((SUM(F78:I78))+(J78*1950*80))</f>
        <v/>
      </c>
      <c r="O78" s="169">
        <f>A78*J78</f>
        <v/>
      </c>
      <c r="P78" s="169">
        <f>A78*K78</f>
        <v/>
      </c>
      <c r="Q78" s="169">
        <f>A78*L78</f>
        <v/>
      </c>
      <c r="R78" s="169">
        <f>1-P78</f>
        <v/>
      </c>
      <c r="S78" s="169">
        <f>1-Q78</f>
        <v/>
      </c>
      <c r="T78" s="169" t="n"/>
    </row>
    <row r="79" ht="15" customHeight="1">
      <c r="A79" s="169" t="n"/>
      <c r="B79" s="167" t="n"/>
      <c r="C79" s="14" t="inlineStr">
        <is>
          <t>8.7 Protection against malware</t>
        </is>
      </c>
      <c r="D79" s="11" t="inlineStr">
        <is>
          <t>ISO/IEC 27002:2022</t>
        </is>
      </c>
      <c r="E79" s="11" t="n">
        <v>66</v>
      </c>
      <c r="F79" s="15" t="n"/>
      <c r="G79" s="15" t="n">
        <v>5000</v>
      </c>
      <c r="H79" s="11" t="n">
        <v>25000</v>
      </c>
      <c r="I79" s="15" t="n">
        <v>200</v>
      </c>
      <c r="J79" s="12" t="n">
        <v>0.06</v>
      </c>
      <c r="K79" s="11" t="n">
        <v>0.08</v>
      </c>
      <c r="L79" s="13" t="n">
        <v>0.08</v>
      </c>
      <c r="M79" s="167" t="n"/>
      <c r="N79" s="169">
        <f>A79*((SUM(F79:I79))+(J79*1950*80))</f>
        <v/>
      </c>
      <c r="O79" s="169">
        <f>A79*J79</f>
        <v/>
      </c>
      <c r="P79" s="169">
        <f>A79*K79</f>
        <v/>
      </c>
      <c r="Q79" s="169">
        <f>A79*L79</f>
        <v/>
      </c>
      <c r="R79" s="169">
        <f>1-P79</f>
        <v/>
      </c>
      <c r="S79" s="169">
        <f>1-Q79</f>
        <v/>
      </c>
      <c r="T79" s="169" t="n"/>
    </row>
    <row r="80" ht="15" customHeight="1">
      <c r="A80" s="169" t="n"/>
      <c r="B80" s="167" t="n"/>
      <c r="C80" s="14" t="inlineStr">
        <is>
          <t>8.8 Management of technical vulnerabilities</t>
        </is>
      </c>
      <c r="D80" s="11" t="inlineStr">
        <is>
          <t>ISO/IEC 27002:2022</t>
        </is>
      </c>
      <c r="E80" s="11" t="n">
        <v>67</v>
      </c>
      <c r="F80" s="15" t="n">
        <v>5000</v>
      </c>
      <c r="G80" s="15" t="n">
        <v>25000</v>
      </c>
      <c r="H80" s="11" t="n">
        <v>50000</v>
      </c>
      <c r="I80" s="15" t="n">
        <v>10000</v>
      </c>
      <c r="J80" s="12" t="n">
        <v>0.06</v>
      </c>
      <c r="K80" s="11" t="n">
        <v>0.065</v>
      </c>
      <c r="L80" s="13" t="n">
        <v>0.065</v>
      </c>
      <c r="M80" s="167" t="n"/>
      <c r="N80" s="169">
        <f>A80*((SUM(F80:I80))+(J80*1950*80))</f>
        <v/>
      </c>
      <c r="O80" s="169">
        <f>A80*J80</f>
        <v/>
      </c>
      <c r="P80" s="169">
        <f>A80*K80</f>
        <v/>
      </c>
      <c r="Q80" s="169">
        <f>A80*L80</f>
        <v/>
      </c>
      <c r="R80" s="169">
        <f>1-P80</f>
        <v/>
      </c>
      <c r="S80" s="169">
        <f>1-Q80</f>
        <v/>
      </c>
      <c r="T80" s="169" t="n"/>
    </row>
    <row r="81" ht="15" customHeight="1">
      <c r="A81" s="169" t="n"/>
      <c r="B81" s="167" t="n"/>
      <c r="C81" s="14" t="inlineStr">
        <is>
          <t>8.9 Configuration management</t>
        </is>
      </c>
      <c r="D81" s="11" t="inlineStr">
        <is>
          <t>ISO/IEC 27002:2022</t>
        </is>
      </c>
      <c r="E81" s="11" t="n">
        <v>68</v>
      </c>
      <c r="F81" s="15" t="n"/>
      <c r="G81" s="15" t="n"/>
      <c r="H81" s="11" t="n">
        <v>10000</v>
      </c>
      <c r="I81" s="15" t="n">
        <v>1000</v>
      </c>
      <c r="J81" s="12" t="n">
        <v>0.02</v>
      </c>
      <c r="K81" s="11" t="n">
        <v>0.01</v>
      </c>
      <c r="L81" s="13" t="n">
        <v>0.01</v>
      </c>
      <c r="M81" s="167" t="n"/>
      <c r="N81" s="169">
        <f>A81*((SUM(F81:I81))+(J81*1950*80))</f>
        <v/>
      </c>
      <c r="O81" s="169">
        <f>A81*J81</f>
        <v/>
      </c>
      <c r="P81" s="169">
        <f>A81*K81</f>
        <v/>
      </c>
      <c r="Q81" s="169">
        <f>A81*L81</f>
        <v/>
      </c>
      <c r="R81" s="169">
        <f>1-P81</f>
        <v/>
      </c>
      <c r="S81" s="169">
        <f>1-Q81</f>
        <v/>
      </c>
      <c r="T81" s="169" t="n"/>
    </row>
    <row r="82" ht="15" customHeight="1">
      <c r="A82" s="169" t="n"/>
      <c r="B82" s="167" t="n"/>
      <c r="C82" s="14" t="inlineStr">
        <is>
          <t>8.10 Information deletion</t>
        </is>
      </c>
      <c r="D82" s="11" t="inlineStr">
        <is>
          <t>ISO/IEC 27002:2022</t>
        </is>
      </c>
      <c r="E82" s="11" t="n">
        <v>69</v>
      </c>
      <c r="F82" s="15" t="n"/>
      <c r="G82" s="15" t="n"/>
      <c r="H82" s="11" t="n">
        <v>10000</v>
      </c>
      <c r="I82" s="15" t="n">
        <v>1000</v>
      </c>
      <c r="J82" s="12" t="n">
        <v>0.02</v>
      </c>
      <c r="K82" s="11" t="n">
        <v>0.01</v>
      </c>
      <c r="L82" s="13" t="n">
        <v>0.01</v>
      </c>
      <c r="M82" s="167" t="n"/>
      <c r="N82" s="169">
        <f>A82*((SUM(F82:I82))+(J82*1950*80))</f>
        <v/>
      </c>
      <c r="O82" s="169">
        <f>A82*J82</f>
        <v/>
      </c>
      <c r="P82" s="169">
        <f>A82*K82</f>
        <v/>
      </c>
      <c r="Q82" s="169">
        <f>A82*L82</f>
        <v/>
      </c>
      <c r="R82" s="169">
        <f>1-P82</f>
        <v/>
      </c>
      <c r="S82" s="169">
        <f>1-Q82</f>
        <v/>
      </c>
      <c r="T82" s="169" t="n"/>
    </row>
    <row r="83" ht="15" customHeight="1">
      <c r="A83" s="169" t="n"/>
      <c r="B83" s="167" t="n"/>
      <c r="C83" s="14" t="inlineStr">
        <is>
          <t>8.11 Data masking</t>
        </is>
      </c>
      <c r="D83" s="11" t="inlineStr">
        <is>
          <t>ISO/IEC 27002:2022</t>
        </is>
      </c>
      <c r="E83" s="11" t="n">
        <v>70</v>
      </c>
      <c r="F83" s="15" t="n"/>
      <c r="G83" s="15" t="n"/>
      <c r="H83" s="11" t="n">
        <v>10000</v>
      </c>
      <c r="I83" s="15" t="n">
        <v>1000</v>
      </c>
      <c r="J83" s="12" t="n">
        <v>0.02</v>
      </c>
      <c r="K83" s="11" t="n">
        <v>0.01</v>
      </c>
      <c r="L83" s="13" t="n">
        <v>0.01</v>
      </c>
      <c r="M83" s="167" t="n"/>
      <c r="N83" s="169">
        <f>A83*((SUM(F83:I83))+(J83*1950*80))</f>
        <v/>
      </c>
      <c r="O83" s="169">
        <f>A83*J83</f>
        <v/>
      </c>
      <c r="P83" s="169">
        <f>A83*K83</f>
        <v/>
      </c>
      <c r="Q83" s="169">
        <f>A83*L83</f>
        <v/>
      </c>
      <c r="R83" s="169">
        <f>1-P83</f>
        <v/>
      </c>
      <c r="S83" s="169">
        <f>1-Q83</f>
        <v/>
      </c>
      <c r="T83" s="169" t="n"/>
    </row>
    <row r="84" ht="15" customHeight="1">
      <c r="A84" s="169" t="n"/>
      <c r="B84" s="167" t="n"/>
      <c r="C84" s="14" t="inlineStr">
        <is>
          <t>8.12 Data leakage prevention</t>
        </is>
      </c>
      <c r="D84" s="11" t="inlineStr">
        <is>
          <t>ISO/IEC 27002:2022</t>
        </is>
      </c>
      <c r="E84" s="11" t="n">
        <v>71</v>
      </c>
      <c r="F84" s="15" t="n"/>
      <c r="G84" s="15" t="n"/>
      <c r="H84" s="11" t="n">
        <v>10000</v>
      </c>
      <c r="I84" s="15" t="n">
        <v>1000</v>
      </c>
      <c r="J84" s="12" t="n">
        <v>0.02</v>
      </c>
      <c r="K84" s="11" t="n">
        <v>0.01</v>
      </c>
      <c r="L84" s="13" t="n">
        <v>0.01</v>
      </c>
      <c r="M84" s="167" t="n"/>
      <c r="N84" s="169">
        <f>A84*((SUM(F84:I84))+(J84*1950*80))</f>
        <v/>
      </c>
      <c r="O84" s="169">
        <f>A84*J84</f>
        <v/>
      </c>
      <c r="P84" s="169">
        <f>A84*K84</f>
        <v/>
      </c>
      <c r="Q84" s="169">
        <f>A84*L84</f>
        <v/>
      </c>
      <c r="R84" s="169">
        <f>1-P84</f>
        <v/>
      </c>
      <c r="S84" s="169">
        <f>1-Q84</f>
        <v/>
      </c>
      <c r="T84" s="169" t="n"/>
    </row>
    <row r="85" ht="15" customHeight="1">
      <c r="A85" s="169" t="n"/>
      <c r="B85" s="167" t="n"/>
      <c r="C85" s="14" t="inlineStr">
        <is>
          <t>8.13 Information backup</t>
        </is>
      </c>
      <c r="D85" s="11" t="inlineStr">
        <is>
          <t>ISO/IEC 27002:2022</t>
        </is>
      </c>
      <c r="E85" s="11" t="n">
        <v>72</v>
      </c>
      <c r="F85" s="15" t="n">
        <v>50000</v>
      </c>
      <c r="G85" s="15" t="n">
        <v>10000</v>
      </c>
      <c r="H85" s="11" t="n">
        <v>50000</v>
      </c>
      <c r="I85" s="15" t="n">
        <v>10000</v>
      </c>
      <c r="J85" s="12" t="n">
        <v>0.06</v>
      </c>
      <c r="K85" s="11" t="n">
        <v>0.065</v>
      </c>
      <c r="L85" s="13" t="n">
        <v>0.06</v>
      </c>
      <c r="M85" s="167" t="n"/>
      <c r="N85" s="169">
        <f>A85*((SUM(F85:I85))+(J85*1950*80))</f>
        <v/>
      </c>
      <c r="O85" s="169">
        <f>A85*J85</f>
        <v/>
      </c>
      <c r="P85" s="169">
        <f>A85*K85</f>
        <v/>
      </c>
      <c r="Q85" s="169">
        <f>A85*L85</f>
        <v/>
      </c>
      <c r="R85" s="169">
        <f>1-P85</f>
        <v/>
      </c>
      <c r="S85" s="169">
        <f>1-Q85</f>
        <v/>
      </c>
      <c r="T85" s="169" t="n"/>
    </row>
    <row r="86" ht="15" customHeight="1" thickBot="1">
      <c r="A86" s="169" t="n"/>
      <c r="B86" s="167" t="n"/>
      <c r="C86" s="14" t="inlineStr">
        <is>
          <t>8.14 Redundancy of information processing facilities</t>
        </is>
      </c>
      <c r="D86" s="11" t="inlineStr">
        <is>
          <t>ISO/IEC 27002:2022</t>
        </is>
      </c>
      <c r="E86" s="11" t="n">
        <v>73</v>
      </c>
      <c r="F86" s="15" t="n"/>
      <c r="G86" s="15" t="n"/>
      <c r="H86" s="11" t="n">
        <v>20000</v>
      </c>
      <c r="I86" s="15" t="n">
        <v>50000</v>
      </c>
      <c r="J86" s="12" t="n">
        <v>0.02</v>
      </c>
      <c r="K86" s="11" t="n">
        <v>0.065</v>
      </c>
      <c r="L86" s="13" t="n">
        <v>0.065</v>
      </c>
      <c r="M86" s="167" t="n"/>
      <c r="N86" s="169">
        <f>A86*((SUM(F86:I86))+(J86*1950*80))</f>
        <v/>
      </c>
      <c r="O86" s="169">
        <f>A86*J86</f>
        <v/>
      </c>
      <c r="P86" s="169">
        <f>A86*K86</f>
        <v/>
      </c>
      <c r="Q86" s="169">
        <f>A86*L86</f>
        <v/>
      </c>
      <c r="R86" s="169">
        <f>1-P86</f>
        <v/>
      </c>
      <c r="S86" s="169">
        <f>1-Q86</f>
        <v/>
      </c>
      <c r="T86" s="169" t="n"/>
    </row>
    <row r="87" ht="15" customHeight="1" thickBot="1">
      <c r="A87" s="169" t="n"/>
      <c r="B87" s="167" t="n"/>
      <c r="C87" s="14" t="inlineStr">
        <is>
          <t>8.15 Logging</t>
        </is>
      </c>
      <c r="D87" s="11" t="inlineStr">
        <is>
          <t>ISO/IEC 27002:2022</t>
        </is>
      </c>
      <c r="E87" s="11" t="n">
        <v>74</v>
      </c>
      <c r="F87" s="15" t="n">
        <v>10000</v>
      </c>
      <c r="G87" s="15" t="n">
        <v>5000</v>
      </c>
      <c r="H87" s="11" t="n">
        <v>50000</v>
      </c>
      <c r="I87" s="15" t="n">
        <v>10000</v>
      </c>
      <c r="J87" s="12" t="n">
        <v>0.01</v>
      </c>
      <c r="K87" s="11" t="n">
        <v>0.06</v>
      </c>
      <c r="L87" s="13" t="n">
        <v>0.06</v>
      </c>
      <c r="M87" s="167" t="n"/>
      <c r="N87" s="169">
        <f>A87*((SUM(F87:I87))+(J87*1950*80))</f>
        <v/>
      </c>
      <c r="O87" s="169">
        <f>A87*J87</f>
        <v/>
      </c>
      <c r="P87" s="169">
        <f>A87*K87</f>
        <v/>
      </c>
      <c r="Q87" s="169">
        <f>A87*L87</f>
        <v/>
      </c>
      <c r="R87" s="169">
        <f>1-P87</f>
        <v/>
      </c>
      <c r="S87" s="169">
        <f>1-Q87</f>
        <v/>
      </c>
      <c r="T87" s="169" t="n"/>
    </row>
    <row r="88" ht="15" customHeight="1">
      <c r="A88" s="169" t="n"/>
      <c r="B88" s="167" t="n"/>
      <c r="C88" s="14" t="inlineStr">
        <is>
          <t>8.16 Monitoring activities</t>
        </is>
      </c>
      <c r="D88" s="11" t="inlineStr">
        <is>
          <t>ISO/IEC 27002:2022</t>
        </is>
      </c>
      <c r="E88" s="11" t="n">
        <v>75</v>
      </c>
      <c r="F88" s="15" t="n"/>
      <c r="G88" s="15" t="n"/>
      <c r="H88" s="11" t="n">
        <v>10000</v>
      </c>
      <c r="I88" s="15" t="n">
        <v>1000</v>
      </c>
      <c r="J88" s="12" t="n">
        <v>0.02</v>
      </c>
      <c r="K88" s="11" t="n">
        <v>0.01</v>
      </c>
      <c r="L88" s="13" t="n">
        <v>0.01</v>
      </c>
      <c r="M88" s="167" t="n"/>
      <c r="N88" s="169">
        <f>A88*((SUM(F88:I88))+(J88*1950*80))</f>
        <v/>
      </c>
      <c r="O88" s="169">
        <f>A88*J88</f>
        <v/>
      </c>
      <c r="P88" s="169">
        <f>A88*K88</f>
        <v/>
      </c>
      <c r="Q88" s="169">
        <f>A88*L88</f>
        <v/>
      </c>
      <c r="R88" s="169">
        <f>1-P88</f>
        <v/>
      </c>
      <c r="S88" s="169">
        <f>1-Q88</f>
        <v/>
      </c>
      <c r="T88" s="169" t="n"/>
    </row>
    <row r="89" ht="15" customHeight="1">
      <c r="A89" s="169" t="n"/>
      <c r="B89" s="167" t="n"/>
      <c r="C89" s="14" t="inlineStr">
        <is>
          <t>8.17 Clock synchronization</t>
        </is>
      </c>
      <c r="D89" s="11" t="inlineStr">
        <is>
          <t>ISO/IEC 27002:2022</t>
        </is>
      </c>
      <c r="E89" s="11" t="n">
        <v>76</v>
      </c>
      <c r="F89" s="15" t="n"/>
      <c r="G89" s="15" t="n"/>
      <c r="H89" s="11" t="n">
        <v>10000</v>
      </c>
      <c r="I89" s="15" t="n">
        <v>1000</v>
      </c>
      <c r="J89" s="12" t="n">
        <v>0.02</v>
      </c>
      <c r="K89" s="11" t="n">
        <v>0.01</v>
      </c>
      <c r="L89" s="13" t="n">
        <v>0.01</v>
      </c>
      <c r="M89" s="167" t="n"/>
      <c r="N89" s="169">
        <f>A89*((SUM(F89:I89))+(J89*1950*80))</f>
        <v/>
      </c>
      <c r="O89" s="169">
        <f>A89*J89</f>
        <v/>
      </c>
      <c r="P89" s="169">
        <f>A89*K89</f>
        <v/>
      </c>
      <c r="Q89" s="169">
        <f>A89*L89</f>
        <v/>
      </c>
      <c r="R89" s="169">
        <f>1-P89</f>
        <v/>
      </c>
      <c r="S89" s="169">
        <f>1-Q89</f>
        <v/>
      </c>
      <c r="T89" s="169" t="n"/>
    </row>
    <row r="90" ht="15" customHeight="1">
      <c r="A90" s="169" t="n"/>
      <c r="B90" s="167" t="n"/>
      <c r="C90" s="14" t="inlineStr">
        <is>
          <t>8.18 Use of privileged utility programs</t>
        </is>
      </c>
      <c r="D90" s="11" t="inlineStr">
        <is>
          <t>ISO/IEC 27002:2022</t>
        </is>
      </c>
      <c r="E90" s="11" t="n">
        <v>77</v>
      </c>
      <c r="F90" s="15" t="n"/>
      <c r="G90" s="15" t="n">
        <v>5000</v>
      </c>
      <c r="H90" s="11" t="n">
        <v>5000</v>
      </c>
      <c r="I90" s="15" t="n">
        <v>100</v>
      </c>
      <c r="J90" s="12" t="n">
        <v>0.01</v>
      </c>
      <c r="K90" s="11" t="n">
        <v>0.01</v>
      </c>
      <c r="L90" s="13" t="n">
        <v>0.01</v>
      </c>
      <c r="M90" s="167" t="n"/>
      <c r="N90" s="169">
        <f>A90*((SUM(F90:I90))+(J90*1950*80))</f>
        <v/>
      </c>
      <c r="O90" s="169">
        <f>A90*J90</f>
        <v/>
      </c>
      <c r="P90" s="169">
        <f>A90*K90</f>
        <v/>
      </c>
      <c r="Q90" s="169">
        <f>A90*L90</f>
        <v/>
      </c>
      <c r="R90" s="169">
        <f>1-P90</f>
        <v/>
      </c>
      <c r="S90" s="169">
        <f>1-Q90</f>
        <v/>
      </c>
      <c r="T90" s="169" t="n"/>
    </row>
    <row r="91" ht="15" customHeight="1">
      <c r="A91" s="169" t="n"/>
      <c r="B91" s="167" t="n"/>
      <c r="C91" s="14" t="inlineStr">
        <is>
          <t>8.19 Installation of software on operational systems</t>
        </is>
      </c>
      <c r="D91" s="11" t="inlineStr">
        <is>
          <t>ISO/IEC 27002:2022</t>
        </is>
      </c>
      <c r="E91" s="11" t="n">
        <v>78</v>
      </c>
      <c r="F91" s="15" t="n">
        <v>10000</v>
      </c>
      <c r="G91" s="15" t="n">
        <v>5000</v>
      </c>
      <c r="H91" s="11" t="n"/>
      <c r="I91" s="15" t="n">
        <v>500</v>
      </c>
      <c r="J91" s="12" t="n">
        <v>0.02</v>
      </c>
      <c r="K91" s="11" t="n">
        <v>0.06</v>
      </c>
      <c r="L91" s="13" t="n">
        <v>0.06</v>
      </c>
      <c r="M91" s="167" t="n"/>
      <c r="N91" s="169">
        <f>A91*((SUM(F91:I91))+(J91*1950*80))</f>
        <v/>
      </c>
      <c r="O91" s="169">
        <f>A91*J91</f>
        <v/>
      </c>
      <c r="P91" s="169">
        <f>A91*K91</f>
        <v/>
      </c>
      <c r="Q91" s="169">
        <f>A91*L91</f>
        <v/>
      </c>
      <c r="R91" s="169">
        <f>1-P91</f>
        <v/>
      </c>
      <c r="S91" s="169">
        <f>1-Q91</f>
        <v/>
      </c>
      <c r="T91" s="169" t="n"/>
    </row>
    <row r="92" ht="15" customHeight="1">
      <c r="A92" s="169" t="n"/>
      <c r="B92" s="167" t="n"/>
      <c r="C92" s="14" t="inlineStr">
        <is>
          <t>8.20 Networks security</t>
        </is>
      </c>
      <c r="D92" s="11" t="inlineStr">
        <is>
          <t>ISO/IEC 27002:2022</t>
        </is>
      </c>
      <c r="E92" s="11" t="n">
        <v>79</v>
      </c>
      <c r="F92" s="15" t="n">
        <v>5000</v>
      </c>
      <c r="G92" s="15" t="n">
        <v>25000</v>
      </c>
      <c r="H92" s="11" t="n">
        <v>50000</v>
      </c>
      <c r="I92" s="15" t="n">
        <v>10000</v>
      </c>
      <c r="J92" s="12" t="n">
        <v>0.06</v>
      </c>
      <c r="K92" s="11" t="n">
        <v>0.02</v>
      </c>
      <c r="L92" s="13" t="n">
        <v>0.02</v>
      </c>
      <c r="M92" s="167" t="n"/>
      <c r="N92" s="169">
        <f>A92*((SUM(F92:I92))+(J92*1950*80))</f>
        <v/>
      </c>
      <c r="O92" s="169">
        <f>A92*J92</f>
        <v/>
      </c>
      <c r="P92" s="169">
        <f>A92*K92</f>
        <v/>
      </c>
      <c r="Q92" s="169">
        <f>A92*L92</f>
        <v/>
      </c>
      <c r="R92" s="169">
        <f>1-P92</f>
        <v/>
      </c>
      <c r="S92" s="169">
        <f>1-Q92</f>
        <v/>
      </c>
      <c r="T92" s="169" t="n"/>
    </row>
    <row r="93" ht="15" customHeight="1">
      <c r="A93" s="169" t="n"/>
      <c r="B93" s="167" t="n"/>
      <c r="C93" s="14" t="inlineStr">
        <is>
          <t>8.21 Security of network services</t>
        </is>
      </c>
      <c r="D93" s="11" t="inlineStr">
        <is>
          <t>ISO/IEC 27002:2022</t>
        </is>
      </c>
      <c r="E93" s="11" t="n">
        <v>80</v>
      </c>
      <c r="F93" s="15" t="n">
        <v>5000</v>
      </c>
      <c r="G93" s="15" t="n">
        <v>25000</v>
      </c>
      <c r="H93" s="11" t="n">
        <v>50000</v>
      </c>
      <c r="I93" s="15" t="n">
        <v>10000</v>
      </c>
      <c r="J93" s="12" t="n">
        <v>0.06</v>
      </c>
      <c r="K93" s="11" t="n">
        <v>0.02</v>
      </c>
      <c r="L93" s="13" t="n">
        <v>0.02</v>
      </c>
      <c r="M93" s="167" t="n"/>
      <c r="N93" s="169">
        <f>A93*((SUM(F93:I93))+(J93*1950*80))</f>
        <v/>
      </c>
      <c r="O93" s="169">
        <f>A93*J93</f>
        <v/>
      </c>
      <c r="P93" s="169">
        <f>A93*K93</f>
        <v/>
      </c>
      <c r="Q93" s="169">
        <f>A93*L93</f>
        <v/>
      </c>
      <c r="R93" s="169">
        <f>1-P93</f>
        <v/>
      </c>
      <c r="S93" s="169">
        <f>1-Q93</f>
        <v/>
      </c>
      <c r="T93" s="169" t="n"/>
    </row>
    <row r="94" ht="15" customHeight="1">
      <c r="A94" s="169" t="n"/>
      <c r="B94" s="167" t="n"/>
      <c r="C94" s="14" t="inlineStr">
        <is>
          <t>8.22 Segregation of networks</t>
        </is>
      </c>
      <c r="D94" s="11" t="inlineStr">
        <is>
          <t>ISO/IEC 27002:2022</t>
        </is>
      </c>
      <c r="E94" s="11" t="n">
        <v>81</v>
      </c>
      <c r="F94" s="15" t="n">
        <v>5000</v>
      </c>
      <c r="G94" s="15" t="n">
        <v>25000</v>
      </c>
      <c r="H94" s="11" t="n">
        <v>50000</v>
      </c>
      <c r="I94" s="15" t="n">
        <v>10000</v>
      </c>
      <c r="J94" s="12" t="n">
        <v>0.06</v>
      </c>
      <c r="K94" s="11" t="n">
        <v>0.02</v>
      </c>
      <c r="L94" s="13" t="n">
        <v>0.02</v>
      </c>
      <c r="M94" s="167" t="n"/>
      <c r="N94" s="169">
        <f>A94*((SUM(F94:I94))+(J94*1950*80))</f>
        <v/>
      </c>
      <c r="O94" s="169">
        <f>A94*J94</f>
        <v/>
      </c>
      <c r="P94" s="169">
        <f>A94*K94</f>
        <v/>
      </c>
      <c r="Q94" s="169">
        <f>A94*L94</f>
        <v/>
      </c>
      <c r="R94" s="169">
        <f>1-P94</f>
        <v/>
      </c>
      <c r="S94" s="169">
        <f>1-Q94</f>
        <v/>
      </c>
      <c r="T94" s="169" t="n"/>
    </row>
    <row r="95" ht="15" customHeight="1">
      <c r="A95" s="169" t="n"/>
      <c r="B95" s="167" t="n"/>
      <c r="C95" s="14" t="inlineStr">
        <is>
          <t>8.23 Web filtering</t>
        </is>
      </c>
      <c r="D95" s="11" t="inlineStr">
        <is>
          <t>ISO/IEC 27002:2022</t>
        </is>
      </c>
      <c r="E95" s="11" t="n">
        <v>82</v>
      </c>
      <c r="F95" s="15" t="n"/>
      <c r="G95" s="15" t="n"/>
      <c r="H95" s="11" t="n">
        <v>10000</v>
      </c>
      <c r="I95" s="15" t="n">
        <v>1000</v>
      </c>
      <c r="J95" s="12" t="n">
        <v>0.02</v>
      </c>
      <c r="K95" s="11" t="n">
        <v>0.01</v>
      </c>
      <c r="L95" s="13" t="n">
        <v>0.01</v>
      </c>
      <c r="M95" s="167" t="n"/>
      <c r="N95" s="169">
        <f>A95*((SUM(F95:I95))+(J95*1950*80))</f>
        <v/>
      </c>
      <c r="O95" s="169">
        <f>A95*J95</f>
        <v/>
      </c>
      <c r="P95" s="169">
        <f>A95*K95</f>
        <v/>
      </c>
      <c r="Q95" s="169">
        <f>A95*L95</f>
        <v/>
      </c>
      <c r="R95" s="169">
        <f>1-P95</f>
        <v/>
      </c>
      <c r="S95" s="169">
        <f>1-Q95</f>
        <v/>
      </c>
      <c r="T95" s="169" t="n"/>
    </row>
    <row r="96" ht="15" customHeight="1">
      <c r="A96" s="169" t="n"/>
      <c r="B96" s="167" t="n"/>
      <c r="C96" s="14" t="inlineStr">
        <is>
          <t>8.24 Use of cryptography</t>
        </is>
      </c>
      <c r="D96" s="11" t="inlineStr">
        <is>
          <t>ISO/IEC 27002:2022</t>
        </is>
      </c>
      <c r="E96" s="11" t="n">
        <v>83</v>
      </c>
      <c r="F96" s="15" t="n"/>
      <c r="G96" s="15" t="n">
        <v>5000</v>
      </c>
      <c r="H96" s="11" t="n">
        <v>5000</v>
      </c>
      <c r="I96" s="15" t="n">
        <v>100</v>
      </c>
      <c r="J96" s="12" t="n">
        <v>0.01</v>
      </c>
      <c r="K96" s="11" t="n">
        <v>0.01</v>
      </c>
      <c r="L96" s="13" t="n">
        <v>0.01</v>
      </c>
      <c r="M96" s="167" t="n"/>
      <c r="N96" s="169">
        <f>A96*((SUM(F96:I96))+(J96*1950*80))</f>
        <v/>
      </c>
      <c r="O96" s="169">
        <f>A96*J96</f>
        <v/>
      </c>
      <c r="P96" s="169">
        <f>A96*K96</f>
        <v/>
      </c>
      <c r="Q96" s="169">
        <f>A96*L96</f>
        <v/>
      </c>
      <c r="R96" s="169">
        <f>1-P96</f>
        <v/>
      </c>
      <c r="S96" s="169">
        <f>1-Q96</f>
        <v/>
      </c>
      <c r="T96" s="169" t="n"/>
    </row>
    <row r="97" ht="15" customHeight="1">
      <c r="A97" s="169" t="n"/>
      <c r="B97" s="167" t="n"/>
      <c r="C97" s="14" t="inlineStr">
        <is>
          <t>8.25 Secure development life cycle</t>
        </is>
      </c>
      <c r="D97" s="11" t="inlineStr">
        <is>
          <t>ISO/IEC 27002:2022</t>
        </is>
      </c>
      <c r="E97" s="11" t="n">
        <v>84</v>
      </c>
      <c r="F97" s="15" t="n"/>
      <c r="G97" s="15" t="n"/>
      <c r="H97" s="11" t="n">
        <v>20000</v>
      </c>
      <c r="I97" s="15" t="n">
        <v>1000</v>
      </c>
      <c r="J97" s="12" t="n">
        <v>0.02</v>
      </c>
      <c r="K97" s="11" t="n">
        <v>0.01</v>
      </c>
      <c r="L97" s="13" t="n">
        <v>0.01</v>
      </c>
      <c r="M97" s="167" t="n"/>
      <c r="N97" s="169">
        <f>A97*((SUM(F97:I97))+(J97*1950*80))</f>
        <v/>
      </c>
      <c r="O97" s="169">
        <f>A97*J97</f>
        <v/>
      </c>
      <c r="P97" s="169">
        <f>A97*K97</f>
        <v/>
      </c>
      <c r="Q97" s="169">
        <f>A97*L97</f>
        <v/>
      </c>
      <c r="R97" s="169">
        <f>1-P97</f>
        <v/>
      </c>
      <c r="S97" s="169">
        <f>1-Q97</f>
        <v/>
      </c>
      <c r="T97" s="169" t="n"/>
    </row>
    <row r="98" ht="15" customHeight="1">
      <c r="A98" s="169" t="n"/>
      <c r="B98" s="167" t="n"/>
      <c r="C98" s="14" t="inlineStr">
        <is>
          <t>8.26 Application security requirements</t>
        </is>
      </c>
      <c r="D98" s="11" t="inlineStr">
        <is>
          <t>ISO/IEC 27002:2022</t>
        </is>
      </c>
      <c r="E98" s="11" t="n">
        <v>85</v>
      </c>
      <c r="F98" s="15" t="n"/>
      <c r="G98" s="15" t="n"/>
      <c r="H98" s="11" t="n">
        <v>20000</v>
      </c>
      <c r="I98" s="15" t="n">
        <v>1000</v>
      </c>
      <c r="J98" s="12" t="n">
        <v>0.02</v>
      </c>
      <c r="K98" s="11" t="n">
        <v>0.02</v>
      </c>
      <c r="L98" s="13" t="n">
        <v>0.02</v>
      </c>
      <c r="M98" s="167" t="n"/>
      <c r="N98" s="169">
        <f>A98*((SUM(F98:I98))+(J98*1950*80))</f>
        <v/>
      </c>
      <c r="O98" s="169">
        <f>A98*J98</f>
        <v/>
      </c>
      <c r="P98" s="169">
        <f>A98*K98</f>
        <v/>
      </c>
      <c r="Q98" s="169">
        <f>A98*L98</f>
        <v/>
      </c>
      <c r="R98" s="169">
        <f>1-P98</f>
        <v/>
      </c>
      <c r="S98" s="169">
        <f>1-Q98</f>
        <v/>
      </c>
      <c r="T98" s="169" t="n"/>
    </row>
    <row r="99" ht="15" customHeight="1">
      <c r="A99" s="169" t="n"/>
      <c r="B99" s="167" t="n"/>
      <c r="C99" s="14" t="inlineStr">
        <is>
          <t>8.27 Secure system architecture and engineering principles</t>
        </is>
      </c>
      <c r="D99" s="11" t="inlineStr">
        <is>
          <t>ISO/IEC 27002:2022</t>
        </is>
      </c>
      <c r="E99" s="11" t="n">
        <v>86</v>
      </c>
      <c r="F99" s="15" t="n"/>
      <c r="G99" s="15" t="n"/>
      <c r="H99" s="11" t="n">
        <v>20000</v>
      </c>
      <c r="I99" s="15" t="n">
        <v>1000</v>
      </c>
      <c r="J99" s="12" t="n">
        <v>0.02</v>
      </c>
      <c r="K99" s="11" t="n">
        <v>0.01</v>
      </c>
      <c r="L99" s="13" t="n">
        <v>0.01</v>
      </c>
      <c r="M99" s="167" t="n"/>
      <c r="N99" s="169">
        <f>A99*((SUM(F99:I99))+(J99*1950*80))</f>
        <v/>
      </c>
      <c r="O99" s="169">
        <f>A99*J99</f>
        <v/>
      </c>
      <c r="P99" s="169">
        <f>A99*K99</f>
        <v/>
      </c>
      <c r="Q99" s="169">
        <f>A99*L99</f>
        <v/>
      </c>
      <c r="R99" s="169">
        <f>1-P99</f>
        <v/>
      </c>
      <c r="S99" s="169">
        <f>1-Q99</f>
        <v/>
      </c>
      <c r="T99" s="169" t="n"/>
    </row>
    <row r="100" ht="15" customHeight="1">
      <c r="A100" s="169" t="n"/>
      <c r="B100" s="167" t="n"/>
      <c r="C100" s="14" t="inlineStr">
        <is>
          <t>8.28 Secure coding</t>
        </is>
      </c>
      <c r="D100" s="11" t="inlineStr">
        <is>
          <t>ISO/IEC 27002:2022</t>
        </is>
      </c>
      <c r="E100" s="11" t="n">
        <v>87</v>
      </c>
      <c r="F100" s="15" t="n"/>
      <c r="G100" s="15" t="n"/>
      <c r="H100" s="11" t="n">
        <v>10000</v>
      </c>
      <c r="I100" s="15" t="n">
        <v>1000</v>
      </c>
      <c r="J100" s="12" t="n">
        <v>0.02</v>
      </c>
      <c r="K100" s="11" t="n">
        <v>0.01</v>
      </c>
      <c r="L100" s="13" t="n">
        <v>0.01</v>
      </c>
      <c r="M100" s="167" t="n"/>
      <c r="N100" s="169">
        <f>A100*((SUM(F100:I100))+(J100*1950*80))</f>
        <v/>
      </c>
      <c r="O100" s="169">
        <f>A100*J100</f>
        <v/>
      </c>
      <c r="P100" s="169">
        <f>A100*K100</f>
        <v/>
      </c>
      <c r="Q100" s="169">
        <f>A100*L100</f>
        <v/>
      </c>
      <c r="R100" s="169">
        <f>1-P100</f>
        <v/>
      </c>
      <c r="S100" s="169">
        <f>1-Q100</f>
        <v/>
      </c>
      <c r="T100" s="169" t="n"/>
    </row>
    <row r="101" ht="15" customHeight="1">
      <c r="A101" s="169" t="n"/>
      <c r="B101" s="167" t="n"/>
      <c r="C101" s="14" t="inlineStr">
        <is>
          <t>8.29 Security testing in development and acceptance</t>
        </is>
      </c>
      <c r="D101" s="11" t="inlineStr">
        <is>
          <t>ISO/IEC 27002:2022</t>
        </is>
      </c>
      <c r="E101" s="11" t="n">
        <v>88</v>
      </c>
      <c r="F101" s="15" t="n"/>
      <c r="G101" s="15" t="n"/>
      <c r="H101" s="11" t="n">
        <v>20000</v>
      </c>
      <c r="I101" s="15" t="n">
        <v>1000</v>
      </c>
      <c r="J101" s="12" t="n">
        <v>0.02</v>
      </c>
      <c r="K101" s="11" t="n">
        <v>0.01</v>
      </c>
      <c r="L101" s="13" t="n">
        <v>0.01</v>
      </c>
      <c r="M101" s="167" t="n"/>
      <c r="N101" s="169">
        <f>A101*((SUM(F101:I101))+(J101*1950*80))</f>
        <v/>
      </c>
      <c r="O101" s="169">
        <f>A101*J101</f>
        <v/>
      </c>
      <c r="P101" s="169">
        <f>A101*K101</f>
        <v/>
      </c>
      <c r="Q101" s="169">
        <f>A101*L101</f>
        <v/>
      </c>
      <c r="R101" s="169">
        <f>1-P101</f>
        <v/>
      </c>
      <c r="S101" s="169">
        <f>1-Q101</f>
        <v/>
      </c>
      <c r="T101" s="169" t="n"/>
    </row>
    <row r="102" ht="15" customHeight="1">
      <c r="A102" s="169" t="n"/>
      <c r="B102" s="167" t="n"/>
      <c r="C102" s="14" t="inlineStr">
        <is>
          <t>8.30 Outsourced development</t>
        </is>
      </c>
      <c r="D102" s="11" t="inlineStr">
        <is>
          <t>ISO/IEC 27002:2022</t>
        </is>
      </c>
      <c r="E102" s="11" t="n">
        <v>89</v>
      </c>
      <c r="F102" s="15" t="n"/>
      <c r="G102" s="15" t="n"/>
      <c r="H102" s="11" t="n">
        <v>20000</v>
      </c>
      <c r="I102" s="15" t="n">
        <v>1000</v>
      </c>
      <c r="J102" s="12" t="n">
        <v>0.02</v>
      </c>
      <c r="K102" s="11" t="n">
        <v>0.01</v>
      </c>
      <c r="L102" s="13" t="n">
        <v>0.01</v>
      </c>
      <c r="M102" s="167" t="n"/>
      <c r="N102" s="169">
        <f>A102*((SUM(F102:I102))+(J102*1950*80))</f>
        <v/>
      </c>
      <c r="O102" s="169">
        <f>A102*J102</f>
        <v/>
      </c>
      <c r="P102" s="169">
        <f>A102*K102</f>
        <v/>
      </c>
      <c r="Q102" s="169">
        <f>A102*L102</f>
        <v/>
      </c>
      <c r="R102" s="169">
        <f>1-P102</f>
        <v/>
      </c>
      <c r="S102" s="169">
        <f>1-Q102</f>
        <v/>
      </c>
      <c r="T102" s="169" t="n"/>
    </row>
    <row r="103" ht="15" customHeight="1">
      <c r="A103" s="169" t="n"/>
      <c r="B103" s="167" t="n"/>
      <c r="C103" s="14" t="inlineStr">
        <is>
          <t>8.31 Separation of development, test and production environments</t>
        </is>
      </c>
      <c r="D103" s="11" t="inlineStr">
        <is>
          <t>ISO/IEC 27002:2022</t>
        </is>
      </c>
      <c r="E103" s="11" t="n">
        <v>90</v>
      </c>
      <c r="F103" s="15" t="n"/>
      <c r="G103" s="15" t="n"/>
      <c r="H103" s="11" t="n">
        <v>5000</v>
      </c>
      <c r="I103" s="15" t="n">
        <v>100</v>
      </c>
      <c r="J103" s="12" t="n">
        <v>0.01</v>
      </c>
      <c r="K103" s="11" t="n">
        <v>0.06</v>
      </c>
      <c r="L103" s="13" t="n">
        <v>0.06</v>
      </c>
      <c r="M103" s="167" t="n"/>
      <c r="N103" s="169">
        <f>A103*((SUM(F103:I103))+(J103*1950*80))</f>
        <v/>
      </c>
      <c r="O103" s="169">
        <f>A103*J103</f>
        <v/>
      </c>
      <c r="P103" s="169">
        <f>A103*K103</f>
        <v/>
      </c>
      <c r="Q103" s="169">
        <f>A103*L103</f>
        <v/>
      </c>
      <c r="R103" s="169">
        <f>1-P103</f>
        <v/>
      </c>
      <c r="S103" s="169">
        <f>1-Q103</f>
        <v/>
      </c>
      <c r="T103" s="169" t="n"/>
    </row>
    <row r="104" ht="15" customHeight="1">
      <c r="A104" s="169" t="n"/>
      <c r="B104" s="167" t="n"/>
      <c r="C104" s="14" t="inlineStr">
        <is>
          <t>8.32 Change management</t>
        </is>
      </c>
      <c r="D104" s="11" t="inlineStr">
        <is>
          <t>ISO/IEC 27002:2022</t>
        </is>
      </c>
      <c r="E104" s="11" t="n">
        <v>91</v>
      </c>
      <c r="F104" s="15" t="n"/>
      <c r="G104" s="15" t="n"/>
      <c r="H104" s="11" t="n">
        <v>50000</v>
      </c>
      <c r="I104" s="15" t="n">
        <v>100</v>
      </c>
      <c r="J104" s="12" t="n">
        <v>0.01</v>
      </c>
      <c r="K104" s="11" t="n">
        <v>0.01</v>
      </c>
      <c r="L104" s="13" t="n">
        <v>0.01</v>
      </c>
      <c r="M104" s="167" t="n"/>
      <c r="N104" s="169">
        <f>A104*((SUM(F104:I104))+(J104*1950*80))</f>
        <v/>
      </c>
      <c r="O104" s="169">
        <f>A104*J104</f>
        <v/>
      </c>
      <c r="P104" s="169">
        <f>A104*K104</f>
        <v/>
      </c>
      <c r="Q104" s="169">
        <f>A104*L104</f>
        <v/>
      </c>
      <c r="R104" s="169">
        <f>1-P104</f>
        <v/>
      </c>
      <c r="S104" s="169">
        <f>1-Q104</f>
        <v/>
      </c>
      <c r="T104" s="169" t="n"/>
    </row>
    <row r="105" ht="15" customHeight="1">
      <c r="A105" s="169" t="n"/>
      <c r="B105" s="167" t="n"/>
      <c r="C105" s="14" t="inlineStr">
        <is>
          <t>8.33 Test information</t>
        </is>
      </c>
      <c r="D105" s="11" t="inlineStr">
        <is>
          <t>ISO/IEC 27002:2022</t>
        </is>
      </c>
      <c r="E105" s="11" t="n">
        <v>92</v>
      </c>
      <c r="F105" s="15" t="n"/>
      <c r="G105" s="15" t="n"/>
      <c r="H105" s="11" t="n">
        <v>20000</v>
      </c>
      <c r="I105" s="15" t="n">
        <v>1000</v>
      </c>
      <c r="J105" s="12" t="n">
        <v>0.02</v>
      </c>
      <c r="K105" s="11" t="n">
        <v>0.01</v>
      </c>
      <c r="L105" s="13" t="n">
        <v>0.01</v>
      </c>
      <c r="M105" s="167" t="n"/>
      <c r="N105" s="169">
        <f>A105*((SUM(F105:I105))+(J105*1950*80))</f>
        <v/>
      </c>
      <c r="O105" s="169">
        <f>A105*J105</f>
        <v/>
      </c>
      <c r="P105" s="169">
        <f>A105*K105</f>
        <v/>
      </c>
      <c r="Q105" s="169">
        <f>A105*L105</f>
        <v/>
      </c>
      <c r="R105" s="169">
        <f>1-P105</f>
        <v/>
      </c>
      <c r="S105" s="169">
        <f>1-Q105</f>
        <v/>
      </c>
      <c r="T105" s="169" t="n"/>
    </row>
    <row r="106" ht="15" customHeight="1">
      <c r="A106" s="169" t="n"/>
      <c r="B106" s="167" t="n"/>
      <c r="C106" s="14" t="inlineStr">
        <is>
          <t>8.34 Protection of information systems during audit testing</t>
        </is>
      </c>
      <c r="D106" s="11" t="inlineStr">
        <is>
          <t>ISO/IEC 27002:2022</t>
        </is>
      </c>
      <c r="E106" s="11" t="n">
        <v>93</v>
      </c>
      <c r="F106" s="15" t="n"/>
      <c r="G106" s="15" t="n"/>
      <c r="H106" s="11" t="n">
        <v>50000</v>
      </c>
      <c r="I106" s="15" t="n">
        <v>10000</v>
      </c>
      <c r="J106" s="12" t="n">
        <v>0.06</v>
      </c>
      <c r="K106" s="11" t="n">
        <v>0.05</v>
      </c>
      <c r="L106" s="13" t="n">
        <v>0.02</v>
      </c>
      <c r="M106" s="167" t="n"/>
      <c r="N106" s="169">
        <f>A106*((SUM(F106:I106))+(J106*1950*80))</f>
        <v/>
      </c>
      <c r="O106" s="169">
        <f>A106*J106</f>
        <v/>
      </c>
      <c r="P106" s="169">
        <f>A106*K106</f>
        <v/>
      </c>
      <c r="Q106" s="169">
        <f>A106*L106</f>
        <v/>
      </c>
      <c r="R106" s="169">
        <f>1-P106</f>
        <v/>
      </c>
      <c r="S106" s="169">
        <f>1-Q106</f>
        <v/>
      </c>
      <c r="T106" s="169" t="n"/>
    </row>
    <row r="107" ht="15" customHeight="1" thickBot="1">
      <c r="A107" s="167" t="n"/>
      <c r="B107" s="167" t="n"/>
      <c r="C107" s="29" t="inlineStr">
        <is>
          <t>Subtotal ISO/IEC 27002:2022 / Sous-total</t>
        </is>
      </c>
      <c r="D107" s="22" t="n"/>
      <c r="E107" s="22" t="n"/>
      <c r="F107" s="22" t="n"/>
      <c r="G107" s="22" t="n"/>
      <c r="H107" s="22" t="n"/>
      <c r="I107" s="22" t="n"/>
      <c r="J107" s="27" t="n"/>
      <c r="K107" s="22" t="n"/>
      <c r="L107" s="28" t="n"/>
      <c r="M107" s="167" t="n"/>
      <c r="N107" s="28">
        <f>SUM(N10:N106)</f>
        <v/>
      </c>
      <c r="O107" s="28">
        <f>SUM(O10:O106)</f>
        <v/>
      </c>
      <c r="P107" s="28">
        <f>1-PRODUCT(R10:R106)</f>
        <v/>
      </c>
      <c r="Q107" s="28">
        <f>1-PRODUCT(S10:S106)</f>
        <v/>
      </c>
      <c r="R107" s="167" t="n"/>
      <c r="S107" s="169" t="n"/>
      <c r="T107" s="169" t="n"/>
    </row>
    <row r="108" ht="15" customHeight="1" thickBot="1">
      <c r="A108" s="171" t="inlineStr">
        <is>
          <t>Inclure Mesure</t>
        </is>
      </c>
      <c r="B108" s="172" t="n"/>
      <c r="C108" s="171" t="inlineStr">
        <is>
          <t>Contrôle</t>
        </is>
      </c>
      <c r="D108" s="173" t="inlineStr">
        <is>
          <t>Source</t>
        </is>
      </c>
      <c r="E108" s="18" t="n"/>
      <c r="F108" s="173" t="n"/>
      <c r="G108" s="173" t="n"/>
      <c r="H108" s="173" t="n"/>
      <c r="I108" s="173" t="n"/>
      <c r="J108" s="19" t="n"/>
      <c r="K108" s="173" t="inlineStr">
        <is>
          <t>Efficacité</t>
        </is>
      </c>
      <c r="L108" s="174" t="inlineStr">
        <is>
          <t>Efficacité</t>
        </is>
      </c>
      <c r="M108" s="172" t="n"/>
      <c r="N108" s="167" t="n"/>
      <c r="O108" s="167" t="n"/>
      <c r="P108" s="167" t="n"/>
      <c r="Q108" s="167" t="n"/>
      <c r="R108" s="172" t="n"/>
      <c r="S108" s="169" t="n"/>
      <c r="T108" s="169" t="n"/>
    </row>
    <row r="109" ht="15" customHeight="1">
      <c r="A109" s="175" t="inlineStr">
        <is>
          <t>Include</t>
        </is>
      </c>
      <c r="B109" s="176" t="n"/>
      <c r="C109" s="177" t="inlineStr">
        <is>
          <t>NIST Cybersecurity Framework (CSF) 2.0 — subcategories / sous-catégories</t>
        </is>
      </c>
      <c r="D109" s="22" t="n"/>
      <c r="E109" s="22" t="n"/>
      <c r="F109" s="177" t="n"/>
      <c r="G109" s="177" t="n"/>
      <c r="H109" s="177" t="inlineStr">
        <is>
          <t>Mise en œuvre</t>
        </is>
      </c>
      <c r="I109" s="177" t="inlineStr">
        <is>
          <t>Exploitation</t>
        </is>
      </c>
      <c r="J109" s="178" t="inlineStr">
        <is>
          <t>ÉTC</t>
        </is>
      </c>
      <c r="K109" s="25" t="inlineStr">
        <is>
          <t>Réduc impacts</t>
        </is>
      </c>
      <c r="L109" s="26" t="inlineStr">
        <is>
          <t>Réduction Pb</t>
        </is>
      </c>
      <c r="M109" s="176" t="n"/>
      <c r="N109" s="173" t="inlineStr">
        <is>
          <t>Coût</t>
        </is>
      </c>
      <c r="O109" s="173" t="n"/>
      <c r="P109" s="173" t="n"/>
      <c r="Q109" s="174" t="n"/>
      <c r="R109" s="176" t="n"/>
      <c r="S109" s="169" t="n"/>
      <c r="T109" s="169" t="n"/>
    </row>
    <row r="110" ht="15" customHeight="1">
      <c r="A110" s="167" t="n"/>
      <c r="B110" s="167" t="n"/>
      <c r="C110" s="168" t="inlineStr">
        <is>
          <t>GOVERN (GV)</t>
        </is>
      </c>
      <c r="D110" s="22" t="n"/>
      <c r="E110" s="22" t="n"/>
      <c r="F110" s="22" t="n"/>
      <c r="G110" s="22" t="n"/>
      <c r="H110" s="22" t="n"/>
      <c r="I110" s="22" t="n"/>
      <c r="J110" s="27" t="n"/>
      <c r="K110" s="22" t="n"/>
      <c r="L110" s="28" t="n"/>
      <c r="M110" s="167" t="n"/>
      <c r="N110" s="167" t="n"/>
      <c r="O110" s="167" t="n"/>
      <c r="P110" s="167" t="n"/>
      <c r="Q110" s="167" t="n"/>
      <c r="R110" s="167" t="n"/>
      <c r="S110" s="169" t="n"/>
      <c r="T110" s="169" t="n"/>
    </row>
    <row r="111" ht="15" customHeight="1">
      <c r="A111" s="169" t="n"/>
      <c r="B111" s="167" t="n"/>
      <c r="C111" s="179" t="inlineStr">
        <is>
          <t>GV.OC Organizational Context</t>
        </is>
      </c>
      <c r="D111" s="11" t="n"/>
      <c r="E111" s="11" t="n"/>
      <c r="F111" s="11" t="n"/>
      <c r="G111" s="11" t="n"/>
      <c r="H111" s="11" t="n"/>
      <c r="I111" s="11" t="n"/>
      <c r="J111" s="12" t="n"/>
      <c r="K111" s="11" t="n"/>
      <c r="L111" s="13" t="n"/>
      <c r="M111" s="167" t="n"/>
      <c r="N111" s="169" t="n"/>
      <c r="O111" s="169" t="n"/>
      <c r="P111" s="169" t="n"/>
      <c r="Q111" s="169" t="n"/>
      <c r="R111" s="167" t="n"/>
      <c r="S111" s="169" t="n"/>
      <c r="T111" s="169" t="n"/>
    </row>
    <row r="112" ht="12.75" customHeight="1">
      <c r="A112" s="169" t="n"/>
      <c r="B112" s="167" t="n"/>
      <c r="C112" s="180" t="inlineStr">
        <is>
          <t>GV.OC-01: The organizational mission is understood and informs cybersecurity risk management</t>
        </is>
      </c>
      <c r="D112" s="181" t="inlineStr">
        <is>
          <t>NIST CSF 2.0</t>
        </is>
      </c>
      <c r="E112" s="169" t="n"/>
      <c r="F112" s="169" t="n"/>
      <c r="G112" s="169" t="n"/>
      <c r="H112" s="169" t="n">
        <v>10000</v>
      </c>
      <c r="I112" s="169" t="n"/>
      <c r="J112" s="169" t="n">
        <v>0.5</v>
      </c>
      <c r="K112" s="169" t="n">
        <v>0.06</v>
      </c>
      <c r="L112" s="169" t="n">
        <v>0.06</v>
      </c>
      <c r="M112" s="167" t="n"/>
      <c r="N112" s="169">
        <f>A112*((SUM(F112:I112))+(J112*1950*80))</f>
        <v/>
      </c>
      <c r="O112" s="169">
        <f>A112*J112</f>
        <v/>
      </c>
      <c r="P112" s="169">
        <f>A112*K112</f>
        <v/>
      </c>
      <c r="Q112" s="169">
        <f>A112*L112</f>
        <v/>
      </c>
      <c r="R112" s="169">
        <f>1-P112</f>
        <v/>
      </c>
      <c r="S112" s="169">
        <f>1-Q112</f>
        <v/>
      </c>
      <c r="T112" s="169" t="n"/>
    </row>
    <row r="113" ht="12.75" customHeight="1">
      <c r="A113" s="169" t="n"/>
      <c r="B113" s="167" t="n"/>
      <c r="C113" s="180" t="inlineStr">
        <is>
          <t>GV.OC-02: Internal and external stakeholders are understood, and their needs and expectations regarding cybersecurity risk management are understood and considered</t>
        </is>
      </c>
      <c r="D113" s="181" t="inlineStr">
        <is>
          <t>NIST CSF 2.0</t>
        </is>
      </c>
      <c r="E113" s="169" t="n"/>
      <c r="F113" s="169" t="n"/>
      <c r="G113" s="169" t="n"/>
      <c r="H113" s="169" t="n">
        <v>10000</v>
      </c>
      <c r="I113" s="169" t="n"/>
      <c r="J113" s="169" t="n">
        <v>0.5</v>
      </c>
      <c r="K113" s="169" t="n">
        <v>0.06</v>
      </c>
      <c r="L113" s="169" t="n">
        <v>0.06</v>
      </c>
      <c r="M113" s="167" t="n"/>
      <c r="N113" s="169">
        <f>A113*((SUM(F113:I113))+(J113*1950*80))</f>
        <v/>
      </c>
      <c r="O113" s="169">
        <f>A113*J113</f>
        <v/>
      </c>
      <c r="P113" s="169">
        <f>A113*K113</f>
        <v/>
      </c>
      <c r="Q113" s="169">
        <f>A113*L113</f>
        <v/>
      </c>
      <c r="R113" s="169">
        <f>1-P113</f>
        <v/>
      </c>
      <c r="S113" s="169">
        <f>1-Q113</f>
        <v/>
      </c>
      <c r="T113" s="169" t="n"/>
    </row>
    <row r="114" ht="12.75" customHeight="1">
      <c r="A114" s="169" t="n"/>
      <c r="B114" s="167" t="n"/>
      <c r="C114" s="180" t="inlineStr">
        <is>
          <t>GV.OC-03: Legal, regulatory, and contractual requirements regarding cybersecurity — including privacy and civil liberties obligations — are understood and managed</t>
        </is>
      </c>
      <c r="D114" s="181" t="inlineStr">
        <is>
          <t>NIST CSF 2.0</t>
        </is>
      </c>
      <c r="E114" s="169" t="n"/>
      <c r="F114" s="169" t="n"/>
      <c r="G114" s="169" t="n"/>
      <c r="H114" s="169" t="n">
        <v>10000</v>
      </c>
      <c r="I114" s="169" t="n"/>
      <c r="J114" s="169" t="n">
        <v>0.5</v>
      </c>
      <c r="K114" s="169" t="n">
        <v>0.06</v>
      </c>
      <c r="L114" s="169" t="n">
        <v>0.06</v>
      </c>
      <c r="M114" s="167" t="n"/>
      <c r="N114" s="169">
        <f>A114*((SUM(F114:I114))+(J114*1950*80))</f>
        <v/>
      </c>
      <c r="O114" s="169">
        <f>A114*J114</f>
        <v/>
      </c>
      <c r="P114" s="169">
        <f>A114*K114</f>
        <v/>
      </c>
      <c r="Q114" s="169">
        <f>A114*L114</f>
        <v/>
      </c>
      <c r="R114" s="169">
        <f>1-P114</f>
        <v/>
      </c>
      <c r="S114" s="169">
        <f>1-Q114</f>
        <v/>
      </c>
      <c r="T114" s="169" t="n"/>
    </row>
    <row r="115" ht="12.75" customHeight="1">
      <c r="A115" s="169" t="n"/>
      <c r="B115" s="167" t="n"/>
      <c r="C115" s="180" t="inlineStr">
        <is>
          <t>GV.OC-04: Critical objectives, capabilities, and services that external stakeholders depend on or expect from the organization are understood and communicated</t>
        </is>
      </c>
      <c r="D115" s="181" t="inlineStr">
        <is>
          <t>NIST CSF 2.0</t>
        </is>
      </c>
      <c r="E115" s="169" t="n"/>
      <c r="F115" s="169" t="n"/>
      <c r="G115" s="169" t="n"/>
      <c r="H115" s="169" t="n">
        <v>10000</v>
      </c>
      <c r="I115" s="169" t="n"/>
      <c r="J115" s="169" t="n">
        <v>0.5</v>
      </c>
      <c r="K115" s="169" t="n">
        <v>0.06</v>
      </c>
      <c r="L115" s="169" t="n">
        <v>0.06</v>
      </c>
      <c r="M115" s="167" t="n"/>
      <c r="N115" s="169">
        <f>A115*((SUM(F115:I115))+(J115*1950*80))</f>
        <v/>
      </c>
      <c r="O115" s="169">
        <f>A115*J115</f>
        <v/>
      </c>
      <c r="P115" s="169">
        <f>A115*K115</f>
        <v/>
      </c>
      <c r="Q115" s="169">
        <f>A115*L115</f>
        <v/>
      </c>
      <c r="R115" s="169">
        <f>1-P115</f>
        <v/>
      </c>
      <c r="S115" s="169">
        <f>1-Q115</f>
        <v/>
      </c>
      <c r="T115" s="169" t="n"/>
    </row>
    <row r="116" ht="12.75" customHeight="1">
      <c r="A116" s="169" t="n"/>
      <c r="B116" s="167" t="n"/>
      <c r="C116" s="180" t="inlineStr">
        <is>
          <t>GV.OC-05: Outcomes, capabilities, and services that the organization depends on are understood and communicated</t>
        </is>
      </c>
      <c r="D116" s="181" t="inlineStr">
        <is>
          <t>NIST CSF 2.0</t>
        </is>
      </c>
      <c r="E116" s="169" t="n"/>
      <c r="F116" s="169" t="n"/>
      <c r="G116" s="169" t="n"/>
      <c r="H116" s="169" t="n">
        <v>10000</v>
      </c>
      <c r="I116" s="169" t="n"/>
      <c r="J116" s="169" t="n">
        <v>0.5</v>
      </c>
      <c r="K116" s="169" t="n">
        <v>0.06</v>
      </c>
      <c r="L116" s="169" t="n">
        <v>0.06</v>
      </c>
      <c r="M116" s="167" t="n"/>
      <c r="N116" s="169">
        <f>A116*((SUM(F116:I116))+(J116*1950*80))</f>
        <v/>
      </c>
      <c r="O116" s="169">
        <f>A116*J116</f>
        <v/>
      </c>
      <c r="P116" s="169">
        <f>A116*K116</f>
        <v/>
      </c>
      <c r="Q116" s="169">
        <f>A116*L116</f>
        <v/>
      </c>
      <c r="R116" s="169">
        <f>1-P116</f>
        <v/>
      </c>
      <c r="S116" s="169">
        <f>1-Q116</f>
        <v/>
      </c>
      <c r="T116" s="169" t="n"/>
    </row>
    <row r="117" ht="15" customHeight="1" thickBot="1">
      <c r="A117" s="169" t="n"/>
      <c r="B117" s="167" t="n"/>
      <c r="C117" s="179" t="inlineStr">
        <is>
          <t>GV.RM Risk Management Strategy</t>
        </is>
      </c>
      <c r="D117" s="11" t="n"/>
      <c r="E117" s="11" t="n"/>
      <c r="F117" s="11" t="n"/>
      <c r="G117" s="11" t="n"/>
      <c r="H117" s="11" t="n"/>
      <c r="I117" s="11" t="n"/>
      <c r="J117" s="12" t="n"/>
      <c r="K117" s="11" t="n"/>
      <c r="L117" s="13" t="n"/>
      <c r="M117" s="167" t="n"/>
      <c r="N117" s="169" t="n"/>
      <c r="O117" s="169" t="n"/>
      <c r="P117" s="169" t="n"/>
      <c r="Q117" s="169" t="n"/>
      <c r="R117" s="167" t="n"/>
      <c r="S117" s="169" t="n"/>
      <c r="T117" s="169" t="n"/>
    </row>
    <row r="118" ht="12.75" customHeight="1" thickBot="1">
      <c r="A118" s="169" t="n"/>
      <c r="B118" s="167" t="n"/>
      <c r="C118" s="180" t="inlineStr">
        <is>
          <t>GV.RM-01: Risk management objectives are established and agreed to by organizational stakeholders</t>
        </is>
      </c>
      <c r="D118" s="181" t="inlineStr">
        <is>
          <t>NIST CSF 2.0</t>
        </is>
      </c>
      <c r="E118" s="169" t="n"/>
      <c r="F118" s="169" t="n"/>
      <c r="G118" s="169" t="n"/>
      <c r="H118" s="169" t="n">
        <v>10000</v>
      </c>
      <c r="I118" s="169" t="n"/>
      <c r="J118" s="169" t="n">
        <v>0.5</v>
      </c>
      <c r="K118" s="169" t="n">
        <v>0.06</v>
      </c>
      <c r="L118" s="169" t="n">
        <v>0.06</v>
      </c>
      <c r="M118" s="167" t="n"/>
      <c r="N118" s="169">
        <f>A118*((SUM(F118:I118))+(J118*1950*80))</f>
        <v/>
      </c>
      <c r="O118" s="169">
        <f>A118*J118</f>
        <v/>
      </c>
      <c r="P118" s="169">
        <f>A118*K118</f>
        <v/>
      </c>
      <c r="Q118" s="169">
        <f>A118*L118</f>
        <v/>
      </c>
      <c r="R118" s="169">
        <f>1-P118</f>
        <v/>
      </c>
      <c r="S118" s="169">
        <f>1-Q118</f>
        <v/>
      </c>
      <c r="T118" s="169" t="n"/>
    </row>
    <row r="119" ht="12.75" customHeight="1">
      <c r="A119" s="169" t="n"/>
      <c r="B119" s="167" t="n"/>
      <c r="C119" s="180" t="inlineStr">
        <is>
          <t>GV.RM-02: Risk appetite and risk tolerance statements are established, communicated, and maintained</t>
        </is>
      </c>
      <c r="D119" s="181" t="inlineStr">
        <is>
          <t>NIST CSF 2.0</t>
        </is>
      </c>
      <c r="E119" s="169" t="n"/>
      <c r="F119" s="169" t="n"/>
      <c r="G119" s="169" t="n"/>
      <c r="H119" s="169" t="n">
        <v>10000</v>
      </c>
      <c r="I119" s="169" t="n"/>
      <c r="J119" s="169" t="n">
        <v>0.5</v>
      </c>
      <c r="K119" s="169" t="n">
        <v>0.06</v>
      </c>
      <c r="L119" s="169" t="n">
        <v>0.06</v>
      </c>
      <c r="M119" s="167" t="n"/>
      <c r="N119" s="169">
        <f>A119*((SUM(F119:I119))+(J119*1950*80))</f>
        <v/>
      </c>
      <c r="O119" s="169">
        <f>A119*J119</f>
        <v/>
      </c>
      <c r="P119" s="169">
        <f>A119*K119</f>
        <v/>
      </c>
      <c r="Q119" s="169">
        <f>A119*L119</f>
        <v/>
      </c>
      <c r="R119" s="169">
        <f>1-P119</f>
        <v/>
      </c>
      <c r="S119" s="169">
        <f>1-Q119</f>
        <v/>
      </c>
      <c r="T119" s="169" t="n"/>
    </row>
    <row r="120" ht="12.75" customHeight="1">
      <c r="A120" s="169" t="n"/>
      <c r="B120" s="167" t="n"/>
      <c r="C120" s="180" t="inlineStr">
        <is>
          <t>GV.RM-03: Cybersecurity risk management activities and outcomes are included in enterprise risk management processes</t>
        </is>
      </c>
      <c r="D120" s="181" t="inlineStr">
        <is>
          <t>NIST CSF 2.0</t>
        </is>
      </c>
      <c r="E120" s="169" t="n"/>
      <c r="F120" s="169" t="n"/>
      <c r="G120" s="169" t="n"/>
      <c r="H120" s="169" t="n">
        <v>10000</v>
      </c>
      <c r="I120" s="169" t="n"/>
      <c r="J120" s="169" t="n">
        <v>0.5</v>
      </c>
      <c r="K120" s="169" t="n">
        <v>0.06</v>
      </c>
      <c r="L120" s="169" t="n">
        <v>0.06</v>
      </c>
      <c r="M120" s="167" t="n"/>
      <c r="N120" s="169">
        <f>A120*((SUM(F120:I120))+(J120*1950*80))</f>
        <v/>
      </c>
      <c r="O120" s="169">
        <f>A120*J120</f>
        <v/>
      </c>
      <c r="P120" s="169">
        <f>A120*K120</f>
        <v/>
      </c>
      <c r="Q120" s="169">
        <f>A120*L120</f>
        <v/>
      </c>
      <c r="R120" s="169">
        <f>1-P120</f>
        <v/>
      </c>
      <c r="S120" s="169">
        <f>1-Q120</f>
        <v/>
      </c>
      <c r="T120" s="169" t="n"/>
    </row>
    <row r="121" ht="12.75" customHeight="1">
      <c r="A121" s="169" t="n"/>
      <c r="B121" s="167" t="n"/>
      <c r="C121" s="180" t="inlineStr">
        <is>
          <t>GV.RM-04: Strategic direction that describes appropriate risk response options is established and communicated</t>
        </is>
      </c>
      <c r="D121" s="181" t="inlineStr">
        <is>
          <t>NIST CSF 2.0</t>
        </is>
      </c>
      <c r="E121" s="169" t="n"/>
      <c r="F121" s="169" t="n"/>
      <c r="G121" s="169" t="n"/>
      <c r="H121" s="169" t="n">
        <v>10000</v>
      </c>
      <c r="I121" s="169" t="n"/>
      <c r="J121" s="169" t="n">
        <v>0.5</v>
      </c>
      <c r="K121" s="169" t="n">
        <v>0.06</v>
      </c>
      <c r="L121" s="169" t="n">
        <v>0.06</v>
      </c>
      <c r="M121" s="167" t="n"/>
      <c r="N121" s="169">
        <f>A121*((SUM(F121:I121))+(J121*1950*80))</f>
        <v/>
      </c>
      <c r="O121" s="169">
        <f>A121*J121</f>
        <v/>
      </c>
      <c r="P121" s="169">
        <f>A121*K121</f>
        <v/>
      </c>
      <c r="Q121" s="169">
        <f>A121*L121</f>
        <v/>
      </c>
      <c r="R121" s="169">
        <f>1-P121</f>
        <v/>
      </c>
      <c r="S121" s="169">
        <f>1-Q121</f>
        <v/>
      </c>
      <c r="T121" s="169" t="n"/>
    </row>
    <row r="122" ht="12.75" customHeight="1">
      <c r="A122" s="169" t="n"/>
      <c r="B122" s="167" t="n"/>
      <c r="C122" s="180" t="inlineStr">
        <is>
          <t>GV.RM-05: Lines of communication across the organization are established for cybersecurity risks, including risks from suppliers and other third parties</t>
        </is>
      </c>
      <c r="D122" s="181" t="inlineStr">
        <is>
          <t>NIST CSF 2.0</t>
        </is>
      </c>
      <c r="E122" s="169" t="n"/>
      <c r="F122" s="169" t="n"/>
      <c r="G122" s="169" t="n"/>
      <c r="H122" s="169" t="n">
        <v>10000</v>
      </c>
      <c r="I122" s="169" t="n"/>
      <c r="J122" s="169" t="n">
        <v>0.5</v>
      </c>
      <c r="K122" s="169" t="n">
        <v>0.06</v>
      </c>
      <c r="L122" s="169" t="n">
        <v>0.06</v>
      </c>
      <c r="M122" s="167" t="n"/>
      <c r="N122" s="169">
        <f>A122*((SUM(F122:I122))+(J122*1950*80))</f>
        <v/>
      </c>
      <c r="O122" s="169">
        <f>A122*J122</f>
        <v/>
      </c>
      <c r="P122" s="169">
        <f>A122*K122</f>
        <v/>
      </c>
      <c r="Q122" s="169">
        <f>A122*L122</f>
        <v/>
      </c>
      <c r="R122" s="169">
        <f>1-P122</f>
        <v/>
      </c>
      <c r="S122" s="169">
        <f>1-Q122</f>
        <v/>
      </c>
      <c r="T122" s="169" t="n"/>
    </row>
    <row r="123" ht="12.75" customHeight="1">
      <c r="A123" s="169" t="n"/>
      <c r="B123" s="167" t="n"/>
      <c r="C123" s="180" t="inlineStr">
        <is>
          <t>GV.RM-06: A standardized method for calculating, documenting, categorizing, and prioritizing cybersecurity risks is established and communicated</t>
        </is>
      </c>
      <c r="D123" s="181" t="inlineStr">
        <is>
          <t>NIST CSF 2.0</t>
        </is>
      </c>
      <c r="E123" s="169" t="n"/>
      <c r="F123" s="169" t="n"/>
      <c r="G123" s="169" t="n"/>
      <c r="H123" s="169" t="n">
        <v>10000</v>
      </c>
      <c r="I123" s="169" t="n"/>
      <c r="J123" s="169" t="n">
        <v>0.5</v>
      </c>
      <c r="K123" s="169" t="n">
        <v>0.06</v>
      </c>
      <c r="L123" s="169" t="n">
        <v>0.06</v>
      </c>
      <c r="M123" s="167" t="n"/>
      <c r="N123" s="169">
        <f>A123*((SUM(F123:I123))+(J123*1950*80))</f>
        <v/>
      </c>
      <c r="O123" s="169">
        <f>A123*J123</f>
        <v/>
      </c>
      <c r="P123" s="169">
        <f>A123*K123</f>
        <v/>
      </c>
      <c r="Q123" s="169">
        <f>A123*L123</f>
        <v/>
      </c>
      <c r="R123" s="169">
        <f>1-P123</f>
        <v/>
      </c>
      <c r="S123" s="169">
        <f>1-Q123</f>
        <v/>
      </c>
      <c r="T123" s="169" t="n"/>
    </row>
    <row r="124" ht="12.75" customHeight="1">
      <c r="A124" s="169" t="n"/>
      <c r="B124" s="167" t="n"/>
      <c r="C124" s="180" t="inlineStr">
        <is>
          <t>GV.RM-07: Strategic opportunities (i.e., positive risks) are characterized and are included in organizational cybersecurity risk discussions</t>
        </is>
      </c>
      <c r="D124" s="181" t="inlineStr">
        <is>
          <t>NIST CSF 2.0</t>
        </is>
      </c>
      <c r="E124" s="169" t="n"/>
      <c r="F124" s="169" t="n"/>
      <c r="G124" s="169" t="n"/>
      <c r="H124" s="169" t="n">
        <v>10000</v>
      </c>
      <c r="I124" s="169" t="n"/>
      <c r="J124" s="169" t="n">
        <v>0.5</v>
      </c>
      <c r="K124" s="169" t="n">
        <v>0.06</v>
      </c>
      <c r="L124" s="169" t="n">
        <v>0.06</v>
      </c>
      <c r="M124" s="167" t="n"/>
      <c r="N124" s="169">
        <f>A124*((SUM(F124:I124))+(J124*1950*80))</f>
        <v/>
      </c>
      <c r="O124" s="169">
        <f>A124*J124</f>
        <v/>
      </c>
      <c r="P124" s="169">
        <f>A124*K124</f>
        <v/>
      </c>
      <c r="Q124" s="169">
        <f>A124*L124</f>
        <v/>
      </c>
      <c r="R124" s="169">
        <f>1-P124</f>
        <v/>
      </c>
      <c r="S124" s="169">
        <f>1-Q124</f>
        <v/>
      </c>
      <c r="T124" s="169" t="n"/>
    </row>
    <row r="125" ht="15" customHeight="1">
      <c r="A125" s="169" t="n"/>
      <c r="B125" s="167" t="n"/>
      <c r="C125" s="179" t="inlineStr">
        <is>
          <t>GV.RR Roles, Responsibilities, and Authorities</t>
        </is>
      </c>
      <c r="D125" s="11" t="n"/>
      <c r="E125" s="11" t="n"/>
      <c r="F125" s="11" t="n"/>
      <c r="G125" s="11" t="n"/>
      <c r="H125" s="11" t="n"/>
      <c r="I125" s="11" t="n"/>
      <c r="J125" s="12" t="n"/>
      <c r="K125" s="11" t="n"/>
      <c r="L125" s="13" t="n"/>
      <c r="M125" s="167" t="n"/>
      <c r="N125" s="169" t="n"/>
      <c r="O125" s="169" t="n"/>
      <c r="P125" s="169" t="n"/>
      <c r="Q125" s="169" t="n"/>
      <c r="R125" s="167" t="n"/>
      <c r="S125" s="169" t="n"/>
      <c r="T125" s="169" t="n"/>
    </row>
    <row r="126" ht="12.75" customHeight="1">
      <c r="A126" s="169" t="n"/>
      <c r="B126" s="167" t="n"/>
      <c r="C126" s="180" t="inlineStr">
        <is>
          <t>GV.RR-01: Organizational leadership is responsible and accountable for cybersecurity risk and fosters a culture that is risk-aware, ethical, and continually improving</t>
        </is>
      </c>
      <c r="D126" s="181" t="inlineStr">
        <is>
          <t>NIST CSF 2.0</t>
        </is>
      </c>
      <c r="E126" s="169" t="n"/>
      <c r="F126" s="169" t="n"/>
      <c r="G126" s="169" t="n"/>
      <c r="H126" s="169" t="n">
        <v>10000</v>
      </c>
      <c r="I126" s="169" t="n"/>
      <c r="J126" s="169" t="n">
        <v>0.5</v>
      </c>
      <c r="K126" s="169" t="n">
        <v>0.06</v>
      </c>
      <c r="L126" s="169" t="n">
        <v>0.06</v>
      </c>
      <c r="M126" s="167" t="n"/>
      <c r="N126" s="169">
        <f>A126*((SUM(F126:I126))+(J126*1950*80))</f>
        <v/>
      </c>
      <c r="O126" s="169">
        <f>A126*J126</f>
        <v/>
      </c>
      <c r="P126" s="169">
        <f>A126*K126</f>
        <v/>
      </c>
      <c r="Q126" s="169">
        <f>A126*L126</f>
        <v/>
      </c>
      <c r="R126" s="169">
        <f>1-P126</f>
        <v/>
      </c>
      <c r="S126" s="169">
        <f>1-Q126</f>
        <v/>
      </c>
      <c r="T126" s="169" t="n"/>
    </row>
    <row r="127" ht="12.75" customHeight="1">
      <c r="A127" s="169" t="n"/>
      <c r="B127" s="167" t="n"/>
      <c r="C127" s="180" t="inlineStr">
        <is>
          <t>GV.RR-02: Roles, responsibilities, and authorities related to cybersecurity risk management are established, communicated, understood, and enforced</t>
        </is>
      </c>
      <c r="D127" s="181" t="inlineStr">
        <is>
          <t>NIST CSF 2.0</t>
        </is>
      </c>
      <c r="E127" s="169" t="n"/>
      <c r="F127" s="169" t="n"/>
      <c r="G127" s="169" t="n"/>
      <c r="H127" s="169" t="n">
        <v>10000</v>
      </c>
      <c r="I127" s="169" t="n"/>
      <c r="J127" s="169" t="n">
        <v>0.5</v>
      </c>
      <c r="K127" s="169" t="n">
        <v>0.06</v>
      </c>
      <c r="L127" s="169" t="n">
        <v>0.06</v>
      </c>
      <c r="M127" s="167" t="n"/>
      <c r="N127" s="169">
        <f>A127*((SUM(F127:I127))+(J127*1950*80))</f>
        <v/>
      </c>
      <c r="O127" s="169">
        <f>A127*J127</f>
        <v/>
      </c>
      <c r="P127" s="169">
        <f>A127*K127</f>
        <v/>
      </c>
      <c r="Q127" s="169">
        <f>A127*L127</f>
        <v/>
      </c>
      <c r="R127" s="169">
        <f>1-P127</f>
        <v/>
      </c>
      <c r="S127" s="169">
        <f>1-Q127</f>
        <v/>
      </c>
      <c r="T127" s="169" t="n"/>
    </row>
    <row r="128" ht="12.75" customHeight="1">
      <c r="A128" s="169" t="n"/>
      <c r="B128" s="167" t="n"/>
      <c r="C128" s="180" t="inlineStr">
        <is>
          <t>GV.RR-03: Adequate resources are allocated commensurate with the cybersecurity risk strategy, roles, responsibilities, and policies</t>
        </is>
      </c>
      <c r="D128" s="181" t="inlineStr">
        <is>
          <t>NIST CSF 2.0</t>
        </is>
      </c>
      <c r="E128" s="169" t="n"/>
      <c r="F128" s="169" t="n"/>
      <c r="G128" s="169" t="n"/>
      <c r="H128" s="169" t="n">
        <v>10000</v>
      </c>
      <c r="I128" s="169" t="n"/>
      <c r="J128" s="169" t="n">
        <v>0.5</v>
      </c>
      <c r="K128" s="169" t="n">
        <v>0.06</v>
      </c>
      <c r="L128" s="169" t="n">
        <v>0.06</v>
      </c>
      <c r="M128" s="167" t="n"/>
      <c r="N128" s="169">
        <f>A128*((SUM(F128:I128))+(J128*1950*80))</f>
        <v/>
      </c>
      <c r="O128" s="169">
        <f>A128*J128</f>
        <v/>
      </c>
      <c r="P128" s="169">
        <f>A128*K128</f>
        <v/>
      </c>
      <c r="Q128" s="169">
        <f>A128*L128</f>
        <v/>
      </c>
      <c r="R128" s="169">
        <f>1-P128</f>
        <v/>
      </c>
      <c r="S128" s="169">
        <f>1-Q128</f>
        <v/>
      </c>
      <c r="T128" s="169" t="n"/>
    </row>
    <row r="129" ht="12.75" customHeight="1">
      <c r="A129" s="169" t="n"/>
      <c r="B129" s="167" t="n"/>
      <c r="C129" s="180" t="inlineStr">
        <is>
          <t>GV.RR-04: Cybersecurity is included in human resources practices</t>
        </is>
      </c>
      <c r="D129" s="181" t="inlineStr">
        <is>
          <t>NIST CSF 2.0</t>
        </is>
      </c>
      <c r="E129" s="169" t="n"/>
      <c r="F129" s="169" t="n"/>
      <c r="G129" s="169" t="n"/>
      <c r="H129" s="169" t="n">
        <v>10000</v>
      </c>
      <c r="I129" s="169" t="n"/>
      <c r="J129" s="169" t="n">
        <v>0.5</v>
      </c>
      <c r="K129" s="169" t="n">
        <v>0.06</v>
      </c>
      <c r="L129" s="169" t="n">
        <v>0.06</v>
      </c>
      <c r="M129" s="167" t="n"/>
      <c r="N129" s="169">
        <f>A129*((SUM(F129:I129))+(J129*1950*80))</f>
        <v/>
      </c>
      <c r="O129" s="169">
        <f>A129*J129</f>
        <v/>
      </c>
      <c r="P129" s="169">
        <f>A129*K129</f>
        <v/>
      </c>
      <c r="Q129" s="169">
        <f>A129*L129</f>
        <v/>
      </c>
      <c r="R129" s="169">
        <f>1-P129</f>
        <v/>
      </c>
      <c r="S129" s="169">
        <f>1-Q129</f>
        <v/>
      </c>
      <c r="T129" s="169" t="n"/>
    </row>
    <row r="130" ht="15" customHeight="1">
      <c r="A130" s="169" t="n"/>
      <c r="B130" s="167" t="n"/>
      <c r="C130" s="179" t="inlineStr">
        <is>
          <t>GV.PO Policy</t>
        </is>
      </c>
      <c r="D130" s="11" t="n"/>
      <c r="E130" s="11" t="n"/>
      <c r="F130" s="11" t="n"/>
      <c r="G130" s="11" t="n"/>
      <c r="H130" s="11" t="n"/>
      <c r="I130" s="11" t="n"/>
      <c r="J130" s="12" t="n"/>
      <c r="K130" s="11" t="n"/>
      <c r="L130" s="13" t="n"/>
      <c r="M130" s="167" t="n"/>
      <c r="N130" s="169" t="n"/>
      <c r="O130" s="169" t="n"/>
      <c r="P130" s="169" t="n"/>
      <c r="Q130" s="169" t="n"/>
      <c r="R130" s="167" t="n"/>
      <c r="S130" s="169" t="n"/>
      <c r="T130" s="169" t="n"/>
    </row>
    <row r="131" ht="12.75" customHeight="1">
      <c r="A131" s="169" t="n"/>
      <c r="B131" s="167" t="n"/>
      <c r="C131" s="180" t="inlineStr">
        <is>
          <t>GV.PO-01: Policy for managing cybersecurity risks is established based on organizational context, cybersecurity strategy, and priorities and is communicated and enforced</t>
        </is>
      </c>
      <c r="D131" s="181" t="inlineStr">
        <is>
          <t>NIST CSF 2.0</t>
        </is>
      </c>
      <c r="E131" s="169" t="n"/>
      <c r="F131" s="169" t="n"/>
      <c r="G131" s="169" t="n"/>
      <c r="H131" s="169" t="n">
        <v>10000</v>
      </c>
      <c r="I131" s="169" t="n"/>
      <c r="J131" s="169" t="n">
        <v>0.5</v>
      </c>
      <c r="K131" s="169" t="n">
        <v>0.06</v>
      </c>
      <c r="L131" s="169" t="n">
        <v>0.06</v>
      </c>
      <c r="M131" s="167" t="n"/>
      <c r="N131" s="169">
        <f>A131*((SUM(F131:I131))+(J131*1950*80))</f>
        <v/>
      </c>
      <c r="O131" s="169">
        <f>A131*J131</f>
        <v/>
      </c>
      <c r="P131" s="169">
        <f>A131*K131</f>
        <v/>
      </c>
      <c r="Q131" s="169">
        <f>A131*L131</f>
        <v/>
      </c>
      <c r="R131" s="169">
        <f>1-P131</f>
        <v/>
      </c>
      <c r="S131" s="169">
        <f>1-Q131</f>
        <v/>
      </c>
      <c r="T131" s="169" t="n"/>
    </row>
    <row r="132" ht="12.75" customHeight="1">
      <c r="A132" s="169" t="n"/>
      <c r="B132" s="167" t="n"/>
      <c r="C132" s="180" t="inlineStr">
        <is>
          <t>GV.PO-02: Policy for managing cybersecurity risks is reviewed, updated, communicated, and enforced to reflect changes in requirements, threats, technology, and organizational mission</t>
        </is>
      </c>
      <c r="D132" s="181" t="inlineStr">
        <is>
          <t>NIST CSF 2.0</t>
        </is>
      </c>
      <c r="E132" s="169" t="n"/>
      <c r="F132" s="169" t="n"/>
      <c r="G132" s="169" t="n"/>
      <c r="H132" s="169" t="n">
        <v>10000</v>
      </c>
      <c r="I132" s="169" t="n"/>
      <c r="J132" s="169" t="n">
        <v>0.5</v>
      </c>
      <c r="K132" s="169" t="n">
        <v>0.06</v>
      </c>
      <c r="L132" s="169" t="n">
        <v>0.06</v>
      </c>
      <c r="M132" s="167" t="n"/>
      <c r="N132" s="169">
        <f>A132*((SUM(F132:I132))+(J132*1950*80))</f>
        <v/>
      </c>
      <c r="O132" s="169">
        <f>A132*J132</f>
        <v/>
      </c>
      <c r="P132" s="169">
        <f>A132*K132</f>
        <v/>
      </c>
      <c r="Q132" s="169">
        <f>A132*L132</f>
        <v/>
      </c>
      <c r="R132" s="169">
        <f>1-P132</f>
        <v/>
      </c>
      <c r="S132" s="169">
        <f>1-Q132</f>
        <v/>
      </c>
      <c r="T132" s="169" t="n"/>
    </row>
    <row r="133" ht="15" customHeight="1">
      <c r="A133" s="169" t="n"/>
      <c r="B133" s="167" t="n"/>
      <c r="C133" s="179" t="inlineStr">
        <is>
          <t>GV.OV Oversight</t>
        </is>
      </c>
      <c r="D133" s="11" t="n"/>
      <c r="E133" s="11" t="n"/>
      <c r="F133" s="11" t="n"/>
      <c r="G133" s="11" t="n"/>
      <c r="H133" s="11" t="n"/>
      <c r="I133" s="11" t="n"/>
      <c r="J133" s="12" t="n"/>
      <c r="K133" s="11" t="n"/>
      <c r="L133" s="13" t="n"/>
      <c r="M133" s="167" t="n"/>
      <c r="N133" s="169" t="n"/>
      <c r="O133" s="169" t="n"/>
      <c r="P133" s="169" t="n"/>
      <c r="Q133" s="169" t="n"/>
      <c r="R133" s="167" t="n"/>
      <c r="S133" s="169" t="n"/>
      <c r="T133" s="169" t="n"/>
    </row>
    <row r="134" ht="12.75" customHeight="1">
      <c r="A134" s="169" t="n"/>
      <c r="B134" s="167" t="n"/>
      <c r="C134" s="180" t="inlineStr">
        <is>
          <t>GV.OV-01: Cybersecurity risk management strategy outcomes are reviewed to inform and adjust strategy and direction</t>
        </is>
      </c>
      <c r="D134" s="181" t="inlineStr">
        <is>
          <t>NIST CSF 2.0</t>
        </is>
      </c>
      <c r="E134" s="169" t="n"/>
      <c r="F134" s="169" t="n"/>
      <c r="G134" s="169" t="n"/>
      <c r="H134" s="169" t="n">
        <v>10000</v>
      </c>
      <c r="I134" s="169" t="n"/>
      <c r="J134" s="169" t="n">
        <v>0.5</v>
      </c>
      <c r="K134" s="169" t="n">
        <v>0.06</v>
      </c>
      <c r="L134" s="169" t="n">
        <v>0.06</v>
      </c>
      <c r="M134" s="167" t="n"/>
      <c r="N134" s="169">
        <f>A134*((SUM(F134:I134))+(J134*1950*80))</f>
        <v/>
      </c>
      <c r="O134" s="169">
        <f>A134*J134</f>
        <v/>
      </c>
      <c r="P134" s="169">
        <f>A134*K134</f>
        <v/>
      </c>
      <c r="Q134" s="169">
        <f>A134*L134</f>
        <v/>
      </c>
      <c r="R134" s="169">
        <f>1-P134</f>
        <v/>
      </c>
      <c r="S134" s="169">
        <f>1-Q134</f>
        <v/>
      </c>
      <c r="T134" s="169" t="n"/>
    </row>
    <row r="135" ht="12.75" customHeight="1" thickBot="1">
      <c r="A135" s="169" t="n"/>
      <c r="B135" s="167" t="n"/>
      <c r="C135" s="180" t="inlineStr">
        <is>
          <t>GV.OV-02: The cybersecurity risk management strategy is reviewed and adjusted to ensure coverage of organizational requirements and risks</t>
        </is>
      </c>
      <c r="D135" s="181" t="inlineStr">
        <is>
          <t>NIST CSF 2.0</t>
        </is>
      </c>
      <c r="E135" s="169" t="n"/>
      <c r="F135" s="169" t="n"/>
      <c r="G135" s="169" t="n"/>
      <c r="H135" s="169" t="n">
        <v>10000</v>
      </c>
      <c r="I135" s="169" t="n"/>
      <c r="J135" s="169" t="n">
        <v>0.5</v>
      </c>
      <c r="K135" s="169" t="n">
        <v>0.06</v>
      </c>
      <c r="L135" s="169" t="n">
        <v>0.06</v>
      </c>
      <c r="M135" s="167" t="n"/>
      <c r="N135" s="169">
        <f>A135*((SUM(F135:I135))+(J135*1950*80))</f>
        <v/>
      </c>
      <c r="O135" s="169">
        <f>A135*J135</f>
        <v/>
      </c>
      <c r="P135" s="169">
        <f>A135*K135</f>
        <v/>
      </c>
      <c r="Q135" s="169">
        <f>A135*L135</f>
        <v/>
      </c>
      <c r="R135" s="169">
        <f>1-P135</f>
        <v/>
      </c>
      <c r="S135" s="169">
        <f>1-Q135</f>
        <v/>
      </c>
      <c r="T135" s="169" t="n"/>
    </row>
    <row r="136" ht="12.75" customHeight="1" thickBot="1">
      <c r="A136" s="169" t="n"/>
      <c r="B136" s="167" t="n"/>
      <c r="C136" s="180" t="inlineStr">
        <is>
          <t>GV.OV-03: Organizational cybersecurity risk management performance is evaluated and reviewed for adjustments needed</t>
        </is>
      </c>
      <c r="D136" s="181" t="inlineStr">
        <is>
          <t>NIST CSF 2.0</t>
        </is>
      </c>
      <c r="E136" s="169" t="n"/>
      <c r="F136" s="169" t="n"/>
      <c r="G136" s="169" t="n"/>
      <c r="H136" s="169" t="n">
        <v>10000</v>
      </c>
      <c r="I136" s="169" t="n"/>
      <c r="J136" s="169" t="n">
        <v>0.5</v>
      </c>
      <c r="K136" s="169" t="n">
        <v>0.06</v>
      </c>
      <c r="L136" s="169" t="n">
        <v>0.06</v>
      </c>
      <c r="M136" s="167" t="n"/>
      <c r="N136" s="169">
        <f>A136*((SUM(F136:I136))+(J136*1950*80))</f>
        <v/>
      </c>
      <c r="O136" s="169">
        <f>A136*J136</f>
        <v/>
      </c>
      <c r="P136" s="169">
        <f>A136*K136</f>
        <v/>
      </c>
      <c r="Q136" s="169">
        <f>A136*L136</f>
        <v/>
      </c>
      <c r="R136" s="169">
        <f>1-P136</f>
        <v/>
      </c>
      <c r="S136" s="169">
        <f>1-Q136</f>
        <v/>
      </c>
      <c r="T136" s="169" t="n"/>
    </row>
    <row r="137" ht="15" customHeight="1">
      <c r="A137" s="169" t="n"/>
      <c r="B137" s="167" t="n"/>
      <c r="C137" s="179" t="inlineStr">
        <is>
          <t>GV.SC Cybersecurity Supply Chain Risk Management</t>
        </is>
      </c>
      <c r="D137" s="11" t="n"/>
      <c r="E137" s="11" t="n"/>
      <c r="F137" s="11" t="n"/>
      <c r="G137" s="11" t="n"/>
      <c r="H137" s="11" t="n"/>
      <c r="I137" s="11" t="n"/>
      <c r="J137" s="12" t="n"/>
      <c r="K137" s="11" t="n"/>
      <c r="L137" s="13" t="n"/>
      <c r="M137" s="167" t="n"/>
      <c r="N137" s="169" t="n"/>
      <c r="O137" s="169" t="n"/>
      <c r="P137" s="169" t="n"/>
      <c r="Q137" s="169" t="n"/>
      <c r="R137" s="167" t="n"/>
      <c r="S137" s="169" t="n"/>
      <c r="T137" s="169" t="n"/>
    </row>
    <row r="138" ht="12.75" customHeight="1">
      <c r="A138" s="169" t="n"/>
      <c r="B138" s="167" t="n"/>
      <c r="C138" s="180" t="inlineStr">
        <is>
          <t>GV.SC-01: A cybersecurity supply chain risk management program, strategy, objectives, policies, and processes are established and agreed to by organizational stakeholders</t>
        </is>
      </c>
      <c r="D138" s="181" t="inlineStr">
        <is>
          <t>NIST CSF 2.0</t>
        </is>
      </c>
      <c r="E138" s="169" t="n"/>
      <c r="F138" s="169" t="n"/>
      <c r="G138" s="169" t="n"/>
      <c r="H138" s="169" t="n">
        <v>10000</v>
      </c>
      <c r="I138" s="169" t="n"/>
      <c r="J138" s="169" t="n">
        <v>0.5</v>
      </c>
      <c r="K138" s="169" t="n">
        <v>0.06</v>
      </c>
      <c r="L138" s="169" t="n">
        <v>0.06</v>
      </c>
      <c r="M138" s="167" t="n"/>
      <c r="N138" s="169">
        <f>A138*((SUM(F138:I138))+(J138*1950*80))</f>
        <v/>
      </c>
      <c r="O138" s="169">
        <f>A138*J138</f>
        <v/>
      </c>
      <c r="P138" s="169">
        <f>A138*K138</f>
        <v/>
      </c>
      <c r="Q138" s="169">
        <f>A138*L138</f>
        <v/>
      </c>
      <c r="R138" s="169">
        <f>1-P138</f>
        <v/>
      </c>
      <c r="S138" s="169">
        <f>1-Q138</f>
        <v/>
      </c>
      <c r="T138" s="169" t="n"/>
    </row>
    <row r="139" ht="12.75" customHeight="1">
      <c r="A139" s="169" t="n"/>
      <c r="B139" s="167" t="n"/>
      <c r="C139" s="180" t="inlineStr">
        <is>
          <t>GV.SC-02: Cybersecurity roles and responsibilities for suppliers, customers, and partners are established, communicated, and coordinated internally and externally</t>
        </is>
      </c>
      <c r="D139" s="181" t="inlineStr">
        <is>
          <t>NIST CSF 2.0</t>
        </is>
      </c>
      <c r="E139" s="169" t="n"/>
      <c r="F139" s="169" t="n"/>
      <c r="G139" s="169" t="n"/>
      <c r="H139" s="169" t="n">
        <v>10000</v>
      </c>
      <c r="I139" s="169" t="n"/>
      <c r="J139" s="169" t="n">
        <v>0.5</v>
      </c>
      <c r="K139" s="169" t="n">
        <v>0.06</v>
      </c>
      <c r="L139" s="169" t="n">
        <v>0.06</v>
      </c>
      <c r="M139" s="167" t="n"/>
      <c r="N139" s="169">
        <f>A139*((SUM(F139:I139))+(J139*1950*80))</f>
        <v/>
      </c>
      <c r="O139" s="169">
        <f>A139*J139</f>
        <v/>
      </c>
      <c r="P139" s="169">
        <f>A139*K139</f>
        <v/>
      </c>
      <c r="Q139" s="169">
        <f>A139*L139</f>
        <v/>
      </c>
      <c r="R139" s="169">
        <f>1-P139</f>
        <v/>
      </c>
      <c r="S139" s="169">
        <f>1-Q139</f>
        <v/>
      </c>
      <c r="T139" s="169" t="n"/>
    </row>
    <row r="140" ht="12.75" customHeight="1">
      <c r="A140" s="169" t="n"/>
      <c r="B140" s="167" t="n"/>
      <c r="C140" s="180" t="inlineStr">
        <is>
          <t>GV.SC-03: Cybersecurity supply chain risk management is integrated into cybersecurity and enterprise risk management, risk assessment, and improvement processes</t>
        </is>
      </c>
      <c r="D140" s="181" t="inlineStr">
        <is>
          <t>NIST CSF 2.0</t>
        </is>
      </c>
      <c r="E140" s="169" t="n"/>
      <c r="F140" s="169" t="n"/>
      <c r="G140" s="169" t="n"/>
      <c r="H140" s="169" t="n">
        <v>10000</v>
      </c>
      <c r="I140" s="169" t="n"/>
      <c r="J140" s="169" t="n">
        <v>0.5</v>
      </c>
      <c r="K140" s="169" t="n">
        <v>0.06</v>
      </c>
      <c r="L140" s="169" t="n">
        <v>0.06</v>
      </c>
      <c r="M140" s="167" t="n"/>
      <c r="N140" s="169">
        <f>A140*((SUM(F140:I140))+(J140*1950*80))</f>
        <v/>
      </c>
      <c r="O140" s="169">
        <f>A140*J140</f>
        <v/>
      </c>
      <c r="P140" s="169">
        <f>A140*K140</f>
        <v/>
      </c>
      <c r="Q140" s="169">
        <f>A140*L140</f>
        <v/>
      </c>
      <c r="R140" s="169">
        <f>1-P140</f>
        <v/>
      </c>
      <c r="S140" s="169">
        <f>1-Q140</f>
        <v/>
      </c>
      <c r="T140" s="169" t="n"/>
    </row>
    <row r="141" ht="12.75" customHeight="1">
      <c r="A141" s="169" t="n"/>
      <c r="B141" s="167" t="n"/>
      <c r="C141" s="180" t="inlineStr">
        <is>
          <t>GV.SC-04: Suppliers are known and prioritized by criticality</t>
        </is>
      </c>
      <c r="D141" s="181" t="inlineStr">
        <is>
          <t>NIST CSF 2.0</t>
        </is>
      </c>
      <c r="E141" s="169" t="n"/>
      <c r="F141" s="169" t="n"/>
      <c r="G141" s="169" t="n"/>
      <c r="H141" s="169" t="n">
        <v>10000</v>
      </c>
      <c r="I141" s="169" t="n"/>
      <c r="J141" s="169" t="n">
        <v>0.5</v>
      </c>
      <c r="K141" s="169" t="n">
        <v>0.06</v>
      </c>
      <c r="L141" s="169" t="n">
        <v>0.06</v>
      </c>
      <c r="M141" s="167" t="n"/>
      <c r="N141" s="169">
        <f>A141*((SUM(F141:I141))+(J141*1950*80))</f>
        <v/>
      </c>
      <c r="O141" s="169">
        <f>A141*J141</f>
        <v/>
      </c>
      <c r="P141" s="169">
        <f>A141*K141</f>
        <v/>
      </c>
      <c r="Q141" s="169">
        <f>A141*L141</f>
        <v/>
      </c>
      <c r="R141" s="169">
        <f>1-P141</f>
        <v/>
      </c>
      <c r="S141" s="169">
        <f>1-Q141</f>
        <v/>
      </c>
      <c r="T141" s="169" t="n"/>
    </row>
    <row r="142" ht="12.75" customHeight="1">
      <c r="A142" s="169" t="n"/>
      <c r="B142" s="167" t="n"/>
      <c r="C142" s="180" t="inlineStr">
        <is>
          <t>GV.SC-05: Requirements to address cybersecurity risks in supply chains are established, prioritized, and integrated into contracts and other types of agreements with suppliers and other relevant third parties</t>
        </is>
      </c>
      <c r="D142" s="181" t="inlineStr">
        <is>
          <t>NIST CSF 2.0</t>
        </is>
      </c>
      <c r="E142" s="169" t="n"/>
      <c r="F142" s="169" t="n"/>
      <c r="G142" s="169" t="n"/>
      <c r="H142" s="169" t="n">
        <v>10000</v>
      </c>
      <c r="I142" s="169" t="n"/>
      <c r="J142" s="169" t="n">
        <v>0.5</v>
      </c>
      <c r="K142" s="169" t="n">
        <v>0.06</v>
      </c>
      <c r="L142" s="169" t="n">
        <v>0.06</v>
      </c>
      <c r="M142" s="167" t="n"/>
      <c r="N142" s="169">
        <f>A142*((SUM(F142:I142))+(J142*1950*80))</f>
        <v/>
      </c>
      <c r="O142" s="169">
        <f>A142*J142</f>
        <v/>
      </c>
      <c r="P142" s="169">
        <f>A142*K142</f>
        <v/>
      </c>
      <c r="Q142" s="169">
        <f>A142*L142</f>
        <v/>
      </c>
      <c r="R142" s="169">
        <f>1-P142</f>
        <v/>
      </c>
      <c r="S142" s="169">
        <f>1-Q142</f>
        <v/>
      </c>
      <c r="T142" s="169" t="n"/>
    </row>
    <row r="143" ht="12.75" customHeight="1" thickBot="1">
      <c r="A143" s="169" t="n"/>
      <c r="B143" s="167" t="n"/>
      <c r="C143" s="180" t="inlineStr">
        <is>
          <t>GV.SC-06: Planning and due diligence are performed to reduce risks before entering into formal supplier or other third-party relationships</t>
        </is>
      </c>
      <c r="D143" s="181" t="inlineStr">
        <is>
          <t>NIST CSF 2.0</t>
        </is>
      </c>
      <c r="E143" s="169" t="n"/>
      <c r="F143" s="169" t="n"/>
      <c r="G143" s="169" t="n"/>
      <c r="H143" s="169" t="n">
        <v>10000</v>
      </c>
      <c r="I143" s="169" t="n"/>
      <c r="J143" s="169" t="n">
        <v>0.5</v>
      </c>
      <c r="K143" s="169" t="n">
        <v>0.06</v>
      </c>
      <c r="L143" s="169" t="n">
        <v>0.06</v>
      </c>
      <c r="M143" s="167" t="n"/>
      <c r="N143" s="169">
        <f>A143*((SUM(F143:I143))+(J143*1950*80))</f>
        <v/>
      </c>
      <c r="O143" s="169">
        <f>A143*J143</f>
        <v/>
      </c>
      <c r="P143" s="169">
        <f>A143*K143</f>
        <v/>
      </c>
      <c r="Q143" s="169">
        <f>A143*L143</f>
        <v/>
      </c>
      <c r="R143" s="169">
        <f>1-P143</f>
        <v/>
      </c>
      <c r="S143" s="169">
        <f>1-Q143</f>
        <v/>
      </c>
      <c r="T143" s="169" t="n"/>
    </row>
    <row r="144" ht="12.75" customHeight="1" thickBot="1">
      <c r="A144" s="169" t="n"/>
      <c r="B144" s="167" t="n"/>
      <c r="C144" s="180" t="inlineStr">
        <is>
          <t>GV.SC-07: The risks posed by a supplier, their products and services, and other third parties are understood, recorded, prioritized, assessed, responded to, and monitored over the course of the relationship</t>
        </is>
      </c>
      <c r="D144" s="181" t="inlineStr">
        <is>
          <t>NIST CSF 2.0</t>
        </is>
      </c>
      <c r="E144" s="169" t="n"/>
      <c r="F144" s="169" t="n"/>
      <c r="G144" s="169" t="n"/>
      <c r="H144" s="169" t="n">
        <v>10000</v>
      </c>
      <c r="I144" s="169" t="n"/>
      <c r="J144" s="169" t="n">
        <v>0.5</v>
      </c>
      <c r="K144" s="169" t="n">
        <v>0.06</v>
      </c>
      <c r="L144" s="169" t="n">
        <v>0.06</v>
      </c>
      <c r="M144" s="167" t="n"/>
      <c r="N144" s="169">
        <f>A144*((SUM(F144:I144))+(J144*1950*80))</f>
        <v/>
      </c>
      <c r="O144" s="169">
        <f>A144*J144</f>
        <v/>
      </c>
      <c r="P144" s="169">
        <f>A144*K144</f>
        <v/>
      </c>
      <c r="Q144" s="169">
        <f>A144*L144</f>
        <v/>
      </c>
      <c r="R144" s="169">
        <f>1-P144</f>
        <v/>
      </c>
      <c r="S144" s="169">
        <f>1-Q144</f>
        <v/>
      </c>
      <c r="T144" s="169" t="n"/>
    </row>
    <row r="145" ht="12.75" customHeight="1">
      <c r="A145" s="169" t="n"/>
      <c r="B145" s="167" t="n"/>
      <c r="C145" s="180" t="inlineStr">
        <is>
          <t>GV.SC-08: Relevant suppliers and other third parties are included in incident planning, response, and recovery activities</t>
        </is>
      </c>
      <c r="D145" s="181" t="inlineStr">
        <is>
          <t>NIST CSF 2.0</t>
        </is>
      </c>
      <c r="E145" s="169" t="n"/>
      <c r="F145" s="169" t="n"/>
      <c r="G145" s="169" t="n"/>
      <c r="H145" s="169" t="n">
        <v>10000</v>
      </c>
      <c r="I145" s="169" t="n"/>
      <c r="J145" s="169" t="n">
        <v>0.5</v>
      </c>
      <c r="K145" s="169" t="n">
        <v>0.06</v>
      </c>
      <c r="L145" s="169" t="n">
        <v>0.06</v>
      </c>
      <c r="M145" s="167" t="n"/>
      <c r="N145" s="169">
        <f>A145*((SUM(F145:I145))+(J145*1950*80))</f>
        <v/>
      </c>
      <c r="O145" s="169">
        <f>A145*J145</f>
        <v/>
      </c>
      <c r="P145" s="169">
        <f>A145*K145</f>
        <v/>
      </c>
      <c r="Q145" s="169">
        <f>A145*L145</f>
        <v/>
      </c>
      <c r="R145" s="169">
        <f>1-P145</f>
        <v/>
      </c>
      <c r="S145" s="169">
        <f>1-Q145</f>
        <v/>
      </c>
      <c r="T145" s="169" t="n"/>
    </row>
    <row r="146" ht="12.75" customHeight="1">
      <c r="A146" s="169" t="n"/>
      <c r="B146" s="167" t="n"/>
      <c r="C146" s="180" t="inlineStr">
        <is>
          <t>GV.SC-09: Supply chain security practices are integrated into cybersecurity and enterprise risk management programs, and their performance is monitored throughout the technology product and service life cycle</t>
        </is>
      </c>
      <c r="D146" s="181" t="inlineStr">
        <is>
          <t>NIST CSF 2.0</t>
        </is>
      </c>
      <c r="E146" s="169" t="n"/>
      <c r="F146" s="169" t="n"/>
      <c r="G146" s="169" t="n"/>
      <c r="H146" s="169" t="n">
        <v>10000</v>
      </c>
      <c r="I146" s="169" t="n"/>
      <c r="J146" s="169" t="n">
        <v>0.5</v>
      </c>
      <c r="K146" s="169" t="n">
        <v>0.06</v>
      </c>
      <c r="L146" s="169" t="n">
        <v>0.06</v>
      </c>
      <c r="M146" s="167" t="n"/>
      <c r="N146" s="169">
        <f>A146*((SUM(F146:I146))+(J146*1950*80))</f>
        <v/>
      </c>
      <c r="O146" s="169">
        <f>A146*J146</f>
        <v/>
      </c>
      <c r="P146" s="169">
        <f>A146*K146</f>
        <v/>
      </c>
      <c r="Q146" s="169">
        <f>A146*L146</f>
        <v/>
      </c>
      <c r="R146" s="169">
        <f>1-P146</f>
        <v/>
      </c>
      <c r="S146" s="169">
        <f>1-Q146</f>
        <v/>
      </c>
      <c r="T146" s="169" t="n"/>
    </row>
    <row r="147" ht="12.75" customHeight="1">
      <c r="A147" s="169" t="n"/>
      <c r="B147" s="167" t="n"/>
      <c r="C147" s="180" t="inlineStr">
        <is>
          <t>GV.SC-10: Cybersecurity supply chain risk management plans include provisions for activities that occur after the conclusion of a partnership or service agreement</t>
        </is>
      </c>
      <c r="D147" s="181" t="inlineStr">
        <is>
          <t>NIST CSF 2.0</t>
        </is>
      </c>
      <c r="E147" s="169" t="n"/>
      <c r="F147" s="169" t="n"/>
      <c r="G147" s="169" t="n"/>
      <c r="H147" s="169" t="n">
        <v>10000</v>
      </c>
      <c r="I147" s="169" t="n"/>
      <c r="J147" s="169" t="n">
        <v>0.5</v>
      </c>
      <c r="K147" s="169" t="n">
        <v>0.06</v>
      </c>
      <c r="L147" s="169" t="n">
        <v>0.06</v>
      </c>
      <c r="M147" s="167" t="n"/>
      <c r="N147" s="169">
        <f>A147*((SUM(F147:I147))+(J147*1950*80))</f>
        <v/>
      </c>
      <c r="O147" s="169">
        <f>A147*J147</f>
        <v/>
      </c>
      <c r="P147" s="169">
        <f>A147*K147</f>
        <v/>
      </c>
      <c r="Q147" s="169">
        <f>A147*L147</f>
        <v/>
      </c>
      <c r="R147" s="169">
        <f>1-P147</f>
        <v/>
      </c>
      <c r="S147" s="169">
        <f>1-Q147</f>
        <v/>
      </c>
      <c r="T147" s="169" t="n"/>
    </row>
    <row r="148" ht="15" customHeight="1">
      <c r="A148" s="167" t="n"/>
      <c r="B148" s="167" t="n"/>
      <c r="C148" s="168" t="inlineStr">
        <is>
          <t>IDENTIFY (ID)</t>
        </is>
      </c>
      <c r="D148" s="22" t="n"/>
      <c r="E148" s="22" t="n"/>
      <c r="F148" s="22" t="n"/>
      <c r="G148" s="22" t="n"/>
      <c r="H148" s="22" t="n"/>
      <c r="I148" s="22" t="n"/>
      <c r="J148" s="27" t="n"/>
      <c r="K148" s="22" t="n"/>
      <c r="L148" s="28" t="n"/>
      <c r="M148" s="167" t="n"/>
      <c r="N148" s="167" t="n"/>
      <c r="O148" s="167" t="n"/>
      <c r="P148" s="167" t="n"/>
      <c r="Q148" s="167" t="n"/>
      <c r="R148" s="167" t="n"/>
      <c r="S148" s="169" t="n"/>
      <c r="T148" s="169" t="n"/>
    </row>
    <row r="149" ht="15" customHeight="1">
      <c r="A149" s="169" t="n"/>
      <c r="B149" s="167" t="n"/>
      <c r="C149" s="179" t="inlineStr">
        <is>
          <t>ID.AM Asset Management</t>
        </is>
      </c>
      <c r="D149" s="11" t="n"/>
      <c r="E149" s="11" t="n"/>
      <c r="F149" s="11" t="n"/>
      <c r="G149" s="11" t="n"/>
      <c r="H149" s="11" t="n"/>
      <c r="I149" s="11" t="n"/>
      <c r="J149" s="12" t="n"/>
      <c r="K149" s="11" t="n"/>
      <c r="L149" s="13" t="n"/>
      <c r="M149" s="167" t="n"/>
      <c r="N149" s="169" t="n"/>
      <c r="O149" s="169" t="n"/>
      <c r="P149" s="169" t="n"/>
      <c r="Q149" s="169" t="n"/>
      <c r="R149" s="167" t="n"/>
      <c r="S149" s="169" t="n"/>
      <c r="T149" s="169" t="n"/>
    </row>
    <row r="150" ht="12.75" customHeight="1">
      <c r="A150" s="169" t="n"/>
      <c r="B150" s="167" t="n"/>
      <c r="C150" s="180" t="inlineStr">
        <is>
          <t>ID.AM-01: Inventories of hardware managed by the organization are maintained</t>
        </is>
      </c>
      <c r="D150" s="181" t="inlineStr">
        <is>
          <t>NIST CSF 2.0</t>
        </is>
      </c>
      <c r="E150" s="169" t="n"/>
      <c r="F150" s="169" t="n"/>
      <c r="G150" s="169" t="n"/>
      <c r="H150" s="169" t="n">
        <v>10000</v>
      </c>
      <c r="I150" s="169" t="n"/>
      <c r="J150" s="169" t="n">
        <v>0.5</v>
      </c>
      <c r="K150" s="169" t="n">
        <v>0.06</v>
      </c>
      <c r="L150" s="169" t="n">
        <v>0.06</v>
      </c>
      <c r="M150" s="167" t="n"/>
      <c r="N150" s="169">
        <f>A150*((SUM(F150:I150))+(J150*1950*80))</f>
        <v/>
      </c>
      <c r="O150" s="169">
        <f>A150*J150</f>
        <v/>
      </c>
      <c r="P150" s="169">
        <f>A150*K150</f>
        <v/>
      </c>
      <c r="Q150" s="169">
        <f>A150*L150</f>
        <v/>
      </c>
      <c r="R150" s="169">
        <f>1-P150</f>
        <v/>
      </c>
      <c r="S150" s="169">
        <f>1-Q150</f>
        <v/>
      </c>
      <c r="T150" s="169" t="n"/>
    </row>
    <row r="151" ht="12.75" customHeight="1">
      <c r="A151" s="169" t="n"/>
      <c r="B151" s="167" t="n"/>
      <c r="C151" s="180" t="inlineStr">
        <is>
          <t>ID.AM-02: Inventories of software, services, and systems managed by the organization are maintained</t>
        </is>
      </c>
      <c r="D151" s="181" t="inlineStr">
        <is>
          <t>NIST CSF 2.0</t>
        </is>
      </c>
      <c r="E151" s="169" t="n"/>
      <c r="F151" s="169" t="n"/>
      <c r="G151" s="169" t="n"/>
      <c r="H151" s="169" t="n">
        <v>10000</v>
      </c>
      <c r="I151" s="169" t="n"/>
      <c r="J151" s="169" t="n">
        <v>0.5</v>
      </c>
      <c r="K151" s="169" t="n">
        <v>0.06</v>
      </c>
      <c r="L151" s="169" t="n">
        <v>0.06</v>
      </c>
      <c r="M151" s="167" t="n"/>
      <c r="N151" s="169">
        <f>A151*((SUM(F151:I151))+(J151*1950*80))</f>
        <v/>
      </c>
      <c r="O151" s="169">
        <f>A151*J151</f>
        <v/>
      </c>
      <c r="P151" s="169">
        <f>A151*K151</f>
        <v/>
      </c>
      <c r="Q151" s="169">
        <f>A151*L151</f>
        <v/>
      </c>
      <c r="R151" s="169">
        <f>1-P151</f>
        <v/>
      </c>
      <c r="S151" s="169">
        <f>1-Q151</f>
        <v/>
      </c>
      <c r="T151" s="169" t="n"/>
    </row>
    <row r="152" ht="12.75" customHeight="1" thickBot="1">
      <c r="A152" s="169" t="n"/>
      <c r="B152" s="167" t="n"/>
      <c r="C152" s="180" t="inlineStr">
        <is>
          <t>ID.AM-03: Representations of the organization's authorized network communication and internal and external network data flows are maintained</t>
        </is>
      </c>
      <c r="D152" s="181" t="inlineStr">
        <is>
          <t>NIST CSF 2.0</t>
        </is>
      </c>
      <c r="E152" s="169" t="n"/>
      <c r="F152" s="169" t="n"/>
      <c r="G152" s="169" t="n"/>
      <c r="H152" s="169" t="n">
        <v>10000</v>
      </c>
      <c r="I152" s="169" t="n"/>
      <c r="J152" s="169" t="n">
        <v>0.5</v>
      </c>
      <c r="K152" s="169" t="n">
        <v>0.06</v>
      </c>
      <c r="L152" s="169" t="n">
        <v>0.06</v>
      </c>
      <c r="M152" s="167" t="n"/>
      <c r="N152" s="169">
        <f>A152*((SUM(F152:I152))+(J152*1950*80))</f>
        <v/>
      </c>
      <c r="O152" s="169">
        <f>A152*J152</f>
        <v/>
      </c>
      <c r="P152" s="169">
        <f>A152*K152</f>
        <v/>
      </c>
      <c r="Q152" s="169">
        <f>A152*L152</f>
        <v/>
      </c>
      <c r="R152" s="169">
        <f>1-P152</f>
        <v/>
      </c>
      <c r="S152" s="169">
        <f>1-Q152</f>
        <v/>
      </c>
      <c r="T152" s="169" t="n"/>
    </row>
    <row r="153" ht="12.75" customHeight="1" thickBot="1">
      <c r="A153" s="169" t="n"/>
      <c r="B153" s="167" t="n"/>
      <c r="C153" s="180" t="inlineStr">
        <is>
          <t>ID.AM-04: Inventories of services provided by suppliers are maintained</t>
        </is>
      </c>
      <c r="D153" s="181" t="inlineStr">
        <is>
          <t>NIST CSF 2.0</t>
        </is>
      </c>
      <c r="E153" s="169" t="n"/>
      <c r="F153" s="169" t="n"/>
      <c r="G153" s="169" t="n"/>
      <c r="H153" s="169" t="n">
        <v>10000</v>
      </c>
      <c r="I153" s="169" t="n"/>
      <c r="J153" s="169" t="n">
        <v>0.5</v>
      </c>
      <c r="K153" s="169" t="n">
        <v>0.06</v>
      </c>
      <c r="L153" s="169" t="n">
        <v>0.06</v>
      </c>
      <c r="M153" s="167" t="n"/>
      <c r="N153" s="169">
        <f>A153*((SUM(F153:I153))+(J153*1950*80))</f>
        <v/>
      </c>
      <c r="O153" s="169">
        <f>A153*J153</f>
        <v/>
      </c>
      <c r="P153" s="169">
        <f>A153*K153</f>
        <v/>
      </c>
      <c r="Q153" s="169">
        <f>A153*L153</f>
        <v/>
      </c>
      <c r="R153" s="169">
        <f>1-P153</f>
        <v/>
      </c>
      <c r="S153" s="169">
        <f>1-Q153</f>
        <v/>
      </c>
      <c r="T153" s="169" t="n"/>
    </row>
    <row r="154" ht="12.75" customHeight="1">
      <c r="A154" s="169" t="n"/>
      <c r="B154" s="167" t="n"/>
      <c r="C154" s="180" t="inlineStr">
        <is>
          <t>ID.AM-05: Assets are prioritized based on classification, criticality, resources, and impact on the mission</t>
        </is>
      </c>
      <c r="D154" s="181" t="inlineStr">
        <is>
          <t>NIST CSF 2.0</t>
        </is>
      </c>
      <c r="E154" s="169" t="n"/>
      <c r="F154" s="169" t="n"/>
      <c r="G154" s="169" t="n"/>
      <c r="H154" s="169" t="n">
        <v>10000</v>
      </c>
      <c r="I154" s="169" t="n"/>
      <c r="J154" s="169" t="n">
        <v>0.5</v>
      </c>
      <c r="K154" s="169" t="n">
        <v>0.06</v>
      </c>
      <c r="L154" s="169" t="n">
        <v>0.06</v>
      </c>
      <c r="M154" s="167" t="n"/>
      <c r="N154" s="169">
        <f>A154*((SUM(F154:I154))+(J154*1950*80))</f>
        <v/>
      </c>
      <c r="O154" s="169">
        <f>A154*J154</f>
        <v/>
      </c>
      <c r="P154" s="169">
        <f>A154*K154</f>
        <v/>
      </c>
      <c r="Q154" s="169">
        <f>A154*L154</f>
        <v/>
      </c>
      <c r="R154" s="169">
        <f>1-P154</f>
        <v/>
      </c>
      <c r="S154" s="169">
        <f>1-Q154</f>
        <v/>
      </c>
      <c r="T154" s="169" t="n"/>
    </row>
    <row r="155" ht="12.75" customHeight="1">
      <c r="A155" s="169" t="n"/>
      <c r="B155" s="167" t="n"/>
      <c r="C155" s="180" t="inlineStr">
        <is>
          <t>ID.AM-07: Inventories of data and corresponding metadata for designated data types are maintained</t>
        </is>
      </c>
      <c r="D155" s="181" t="inlineStr">
        <is>
          <t>NIST CSF 2.0</t>
        </is>
      </c>
      <c r="E155" s="169" t="n"/>
      <c r="F155" s="169" t="n"/>
      <c r="G155" s="169" t="n"/>
      <c r="H155" s="169" t="n">
        <v>10000</v>
      </c>
      <c r="I155" s="169" t="n"/>
      <c r="J155" s="169" t="n">
        <v>0.5</v>
      </c>
      <c r="K155" s="169" t="n">
        <v>0.06</v>
      </c>
      <c r="L155" s="169" t="n">
        <v>0.06</v>
      </c>
      <c r="M155" s="167" t="n"/>
      <c r="N155" s="169">
        <f>A155*((SUM(F155:I155))+(J155*1950*80))</f>
        <v/>
      </c>
      <c r="O155" s="169">
        <f>A155*J155</f>
        <v/>
      </c>
      <c r="P155" s="169">
        <f>A155*K155</f>
        <v/>
      </c>
      <c r="Q155" s="169">
        <f>A155*L155</f>
        <v/>
      </c>
      <c r="R155" s="169">
        <f>1-P155</f>
        <v/>
      </c>
      <c r="S155" s="169">
        <f>1-Q155</f>
        <v/>
      </c>
      <c r="T155" s="169" t="n"/>
    </row>
    <row r="156" ht="12.75" customHeight="1">
      <c r="A156" s="169" t="n"/>
      <c r="B156" s="167" t="n"/>
      <c r="C156" s="180" t="inlineStr">
        <is>
          <t>ID.AM-08: Systems, hardware, software, services, and data are managed throughout their life cycles</t>
        </is>
      </c>
      <c r="D156" s="181" t="inlineStr">
        <is>
          <t>NIST CSF 2.0</t>
        </is>
      </c>
      <c r="E156" s="169" t="n"/>
      <c r="F156" s="169" t="n"/>
      <c r="G156" s="169" t="n"/>
      <c r="H156" s="169" t="n">
        <v>10000</v>
      </c>
      <c r="I156" s="169" t="n"/>
      <c r="J156" s="169" t="n">
        <v>0.5</v>
      </c>
      <c r="K156" s="169" t="n">
        <v>0.06</v>
      </c>
      <c r="L156" s="169" t="n">
        <v>0.06</v>
      </c>
      <c r="M156" s="167" t="n"/>
      <c r="N156" s="169">
        <f>A156*((SUM(F156:I156))+(J156*1950*80))</f>
        <v/>
      </c>
      <c r="O156" s="169">
        <f>A156*J156</f>
        <v/>
      </c>
      <c r="P156" s="169">
        <f>A156*K156</f>
        <v/>
      </c>
      <c r="Q156" s="169">
        <f>A156*L156</f>
        <v/>
      </c>
      <c r="R156" s="169">
        <f>1-P156</f>
        <v/>
      </c>
      <c r="S156" s="169">
        <f>1-Q156</f>
        <v/>
      </c>
      <c r="T156" s="169" t="n"/>
    </row>
    <row r="157" ht="15" customHeight="1">
      <c r="A157" s="169" t="n"/>
      <c r="B157" s="167" t="n"/>
      <c r="C157" s="179" t="inlineStr">
        <is>
          <t>ID.RA Risk Assessment</t>
        </is>
      </c>
      <c r="D157" s="11" t="n"/>
      <c r="E157" s="11" t="n"/>
      <c r="F157" s="11" t="n"/>
      <c r="G157" s="11" t="n"/>
      <c r="H157" s="11" t="n"/>
      <c r="I157" s="11" t="n"/>
      <c r="J157" s="12" t="n"/>
      <c r="K157" s="11" t="n"/>
      <c r="L157" s="13" t="n"/>
      <c r="M157" s="167" t="n"/>
      <c r="N157" s="169" t="n"/>
      <c r="O157" s="169" t="n"/>
      <c r="P157" s="169" t="n"/>
      <c r="Q157" s="169" t="n"/>
      <c r="R157" s="167" t="n"/>
      <c r="S157" s="169" t="n"/>
      <c r="T157" s="169" t="n"/>
    </row>
    <row r="158" ht="12.75" customHeight="1">
      <c r="A158" s="169" t="n"/>
      <c r="B158" s="167" t="n"/>
      <c r="C158" s="180" t="inlineStr">
        <is>
          <t>ID.RA-01: Vulnerabilities in assets are identified, validated, and recorded</t>
        </is>
      </c>
      <c r="D158" s="181" t="inlineStr">
        <is>
          <t>NIST CSF 2.0</t>
        </is>
      </c>
      <c r="E158" s="169" t="n"/>
      <c r="F158" s="169" t="n"/>
      <c r="G158" s="169" t="n"/>
      <c r="H158" s="169" t="n">
        <v>10000</v>
      </c>
      <c r="I158" s="169" t="n"/>
      <c r="J158" s="169" t="n">
        <v>0.5</v>
      </c>
      <c r="K158" s="169" t="n">
        <v>0.06</v>
      </c>
      <c r="L158" s="169" t="n">
        <v>0.06</v>
      </c>
      <c r="M158" s="167" t="n"/>
      <c r="N158" s="169">
        <f>A158*((SUM(F158:I158))+(J158*1950*80))</f>
        <v/>
      </c>
      <c r="O158" s="169">
        <f>A158*J158</f>
        <v/>
      </c>
      <c r="P158" s="169">
        <f>A158*K158</f>
        <v/>
      </c>
      <c r="Q158" s="169">
        <f>A158*L158</f>
        <v/>
      </c>
      <c r="R158" s="169">
        <f>1-P158</f>
        <v/>
      </c>
      <c r="S158" s="169">
        <f>1-Q158</f>
        <v/>
      </c>
      <c r="T158" s="169" t="n"/>
    </row>
    <row r="159" ht="12.75" customHeight="1" thickBot="1">
      <c r="A159" s="169" t="n"/>
      <c r="B159" s="167" t="n"/>
      <c r="C159" s="180" t="inlineStr">
        <is>
          <t>ID.RA-02: Cyber threat intelligence is received from information sharing forums and sources</t>
        </is>
      </c>
      <c r="D159" s="181" t="inlineStr">
        <is>
          <t>NIST CSF 2.0</t>
        </is>
      </c>
      <c r="E159" s="169" t="n"/>
      <c r="F159" s="169" t="n"/>
      <c r="G159" s="169" t="n"/>
      <c r="H159" s="169" t="n">
        <v>10000</v>
      </c>
      <c r="I159" s="169" t="n"/>
      <c r="J159" s="169" t="n">
        <v>0.5</v>
      </c>
      <c r="K159" s="169" t="n">
        <v>0.06</v>
      </c>
      <c r="L159" s="169" t="n">
        <v>0.06</v>
      </c>
      <c r="M159" s="167" t="n"/>
      <c r="N159" s="169">
        <f>A159*((SUM(F159:I159))+(J159*1950*80))</f>
        <v/>
      </c>
      <c r="O159" s="169">
        <f>A159*J159</f>
        <v/>
      </c>
      <c r="P159" s="169">
        <f>A159*K159</f>
        <v/>
      </c>
      <c r="Q159" s="169">
        <f>A159*L159</f>
        <v/>
      </c>
      <c r="R159" s="169">
        <f>1-P159</f>
        <v/>
      </c>
      <c r="S159" s="169">
        <f>1-Q159</f>
        <v/>
      </c>
      <c r="T159" s="169" t="n"/>
    </row>
    <row r="160" ht="12.75" customHeight="1" thickBot="1">
      <c r="A160" s="169" t="n"/>
      <c r="B160" s="167" t="n"/>
      <c r="C160" s="180" t="inlineStr">
        <is>
          <t>ID.RA-03: Internal and external threats to the organization are identified and recorded</t>
        </is>
      </c>
      <c r="D160" s="181" t="inlineStr">
        <is>
          <t>NIST CSF 2.0</t>
        </is>
      </c>
      <c r="E160" s="169" t="n"/>
      <c r="F160" s="169" t="n"/>
      <c r="G160" s="169" t="n"/>
      <c r="H160" s="169" t="n">
        <v>10000</v>
      </c>
      <c r="I160" s="169" t="n"/>
      <c r="J160" s="169" t="n">
        <v>0.5</v>
      </c>
      <c r="K160" s="169" t="n">
        <v>0.06</v>
      </c>
      <c r="L160" s="169" t="n">
        <v>0.06</v>
      </c>
      <c r="M160" s="167" t="n"/>
      <c r="N160" s="169">
        <f>A160*((SUM(F160:I160))+(J160*1950*80))</f>
        <v/>
      </c>
      <c r="O160" s="169">
        <f>A160*J160</f>
        <v/>
      </c>
      <c r="P160" s="169">
        <f>A160*K160</f>
        <v/>
      </c>
      <c r="Q160" s="169">
        <f>A160*L160</f>
        <v/>
      </c>
      <c r="R160" s="169">
        <f>1-P160</f>
        <v/>
      </c>
      <c r="S160" s="169">
        <f>1-Q160</f>
        <v/>
      </c>
      <c r="T160" s="169" t="n"/>
    </row>
    <row r="161" ht="12.75" customHeight="1">
      <c r="A161" s="169" t="n"/>
      <c r="B161" s="167" t="n"/>
      <c r="C161" s="180" t="inlineStr">
        <is>
          <t>ID.RA-04: Potential impacts and likelihoods of threats exploiting vulnerabilities are identified and recorded</t>
        </is>
      </c>
      <c r="D161" s="181" t="inlineStr">
        <is>
          <t>NIST CSF 2.0</t>
        </is>
      </c>
      <c r="E161" s="169" t="n"/>
      <c r="F161" s="169" t="n"/>
      <c r="G161" s="169" t="n"/>
      <c r="H161" s="169" t="n">
        <v>10000</v>
      </c>
      <c r="I161" s="169" t="n"/>
      <c r="J161" s="169" t="n">
        <v>0.5</v>
      </c>
      <c r="K161" s="169" t="n">
        <v>0.06</v>
      </c>
      <c r="L161" s="169" t="n">
        <v>0.06</v>
      </c>
      <c r="M161" s="167" t="n"/>
      <c r="N161" s="169">
        <f>A161*((SUM(F161:I161))+(J161*1950*80))</f>
        <v/>
      </c>
      <c r="O161" s="169">
        <f>A161*J161</f>
        <v/>
      </c>
      <c r="P161" s="169">
        <f>A161*K161</f>
        <v/>
      </c>
      <c r="Q161" s="169">
        <f>A161*L161</f>
        <v/>
      </c>
      <c r="R161" s="169">
        <f>1-P161</f>
        <v/>
      </c>
      <c r="S161" s="169">
        <f>1-Q161</f>
        <v/>
      </c>
      <c r="T161" s="169" t="n"/>
    </row>
    <row r="162" ht="12.75" customHeight="1">
      <c r="A162" s="169" t="n"/>
      <c r="B162" s="167" t="n"/>
      <c r="C162" s="180" t="inlineStr">
        <is>
          <t>ID.RA-05: Threats, vulnerabilities, likelihoods, and impacts are used to understand inherent risk and inform risk response prioritization</t>
        </is>
      </c>
      <c r="D162" s="181" t="inlineStr">
        <is>
          <t>NIST CSF 2.0</t>
        </is>
      </c>
      <c r="E162" s="169" t="n"/>
      <c r="F162" s="169" t="n"/>
      <c r="G162" s="169" t="n"/>
      <c r="H162" s="169" t="n">
        <v>10000</v>
      </c>
      <c r="I162" s="169" t="n"/>
      <c r="J162" s="169" t="n">
        <v>0.5</v>
      </c>
      <c r="K162" s="169" t="n">
        <v>0.06</v>
      </c>
      <c r="L162" s="169" t="n">
        <v>0.06</v>
      </c>
      <c r="M162" s="167" t="n"/>
      <c r="N162" s="169">
        <f>A162*((SUM(F162:I162))+(J162*1950*80))</f>
        <v/>
      </c>
      <c r="O162" s="169">
        <f>A162*J162</f>
        <v/>
      </c>
      <c r="P162" s="169">
        <f>A162*K162</f>
        <v/>
      </c>
      <c r="Q162" s="169">
        <f>A162*L162</f>
        <v/>
      </c>
      <c r="R162" s="169">
        <f>1-P162</f>
        <v/>
      </c>
      <c r="S162" s="169">
        <f>1-Q162</f>
        <v/>
      </c>
      <c r="T162" s="169" t="n"/>
    </row>
    <row r="163" ht="12.75" customHeight="1">
      <c r="A163" s="169" t="n"/>
      <c r="B163" s="167" t="n"/>
      <c r="C163" s="180" t="inlineStr">
        <is>
          <t>ID.RA-06: Risk responses are chosen, prioritized, planned, tracked, and communicated</t>
        </is>
      </c>
      <c r="D163" s="181" t="inlineStr">
        <is>
          <t>NIST CSF 2.0</t>
        </is>
      </c>
      <c r="E163" s="169" t="n"/>
      <c r="F163" s="169" t="n"/>
      <c r="G163" s="169" t="n"/>
      <c r="H163" s="169" t="n">
        <v>10000</v>
      </c>
      <c r="I163" s="169" t="n"/>
      <c r="J163" s="169" t="n">
        <v>0.5</v>
      </c>
      <c r="K163" s="169" t="n">
        <v>0.06</v>
      </c>
      <c r="L163" s="169" t="n">
        <v>0.06</v>
      </c>
      <c r="M163" s="167" t="n"/>
      <c r="N163" s="169">
        <f>A163*((SUM(F163:I163))+(J163*1950*80))</f>
        <v/>
      </c>
      <c r="O163" s="169">
        <f>A163*J163</f>
        <v/>
      </c>
      <c r="P163" s="169">
        <f>A163*K163</f>
        <v/>
      </c>
      <c r="Q163" s="169">
        <f>A163*L163</f>
        <v/>
      </c>
      <c r="R163" s="169">
        <f>1-P163</f>
        <v/>
      </c>
      <c r="S163" s="169">
        <f>1-Q163</f>
        <v/>
      </c>
      <c r="T163" s="169" t="n"/>
    </row>
    <row r="164" ht="12.75" customHeight="1">
      <c r="A164" s="169" t="n"/>
      <c r="B164" s="167" t="n"/>
      <c r="C164" s="180" t="inlineStr">
        <is>
          <t>ID.RA-07: Changes and exceptions are managed, assessed for risk impact, recorded, and tracked</t>
        </is>
      </c>
      <c r="D164" s="181" t="inlineStr">
        <is>
          <t>NIST CSF 2.0</t>
        </is>
      </c>
      <c r="E164" s="169" t="n"/>
      <c r="F164" s="169" t="n"/>
      <c r="G164" s="169" t="n"/>
      <c r="H164" s="169" t="n">
        <v>10000</v>
      </c>
      <c r="I164" s="169" t="n"/>
      <c r="J164" s="169" t="n">
        <v>0.5</v>
      </c>
      <c r="K164" s="169" t="n">
        <v>0.06</v>
      </c>
      <c r="L164" s="169" t="n">
        <v>0.06</v>
      </c>
      <c r="M164" s="167" t="n"/>
      <c r="N164" s="169">
        <f>A164*((SUM(F164:I164))+(J164*1950*80))</f>
        <v/>
      </c>
      <c r="O164" s="169">
        <f>A164*J164</f>
        <v/>
      </c>
      <c r="P164" s="169">
        <f>A164*K164</f>
        <v/>
      </c>
      <c r="Q164" s="169">
        <f>A164*L164</f>
        <v/>
      </c>
      <c r="R164" s="169">
        <f>1-P164</f>
        <v/>
      </c>
      <c r="S164" s="169">
        <f>1-Q164</f>
        <v/>
      </c>
      <c r="T164" s="169" t="n"/>
    </row>
    <row r="165" ht="12.75" customHeight="1">
      <c r="A165" s="169" t="n"/>
      <c r="B165" s="167" t="n"/>
      <c r="C165" s="180" t="inlineStr">
        <is>
          <t>ID.RA-08: Processes for receiving, analyzing, and responding to vulnerability disclosures are established</t>
        </is>
      </c>
      <c r="D165" s="181" t="inlineStr">
        <is>
          <t>NIST CSF 2.0</t>
        </is>
      </c>
      <c r="E165" s="169" t="n"/>
      <c r="F165" s="169" t="n"/>
      <c r="G165" s="169" t="n"/>
      <c r="H165" s="169" t="n">
        <v>10000</v>
      </c>
      <c r="I165" s="169" t="n"/>
      <c r="J165" s="169" t="n">
        <v>0.5</v>
      </c>
      <c r="K165" s="169" t="n">
        <v>0.06</v>
      </c>
      <c r="L165" s="169" t="n">
        <v>0.06</v>
      </c>
      <c r="M165" s="167" t="n"/>
      <c r="N165" s="169">
        <f>A165*((SUM(F165:I165))+(J165*1950*80))</f>
        <v/>
      </c>
      <c r="O165" s="169">
        <f>A165*J165</f>
        <v/>
      </c>
      <c r="P165" s="169">
        <f>A165*K165</f>
        <v/>
      </c>
      <c r="Q165" s="169">
        <f>A165*L165</f>
        <v/>
      </c>
      <c r="R165" s="169">
        <f>1-P165</f>
        <v/>
      </c>
      <c r="S165" s="169">
        <f>1-Q165</f>
        <v/>
      </c>
      <c r="T165" s="169" t="n"/>
    </row>
    <row r="166" ht="12.75" customHeight="1">
      <c r="A166" s="169" t="n"/>
      <c r="B166" s="167" t="n"/>
      <c r="C166" s="180" t="inlineStr">
        <is>
          <t>ID.RA-09: The authenticity and integrity of hardware and software are assessed prior to acquisition and use</t>
        </is>
      </c>
      <c r="D166" s="181" t="inlineStr">
        <is>
          <t>NIST CSF 2.0</t>
        </is>
      </c>
      <c r="E166" s="169" t="n"/>
      <c r="F166" s="169" t="n"/>
      <c r="G166" s="169" t="n"/>
      <c r="H166" s="169" t="n">
        <v>10000</v>
      </c>
      <c r="I166" s="169" t="n"/>
      <c r="J166" s="169" t="n">
        <v>0.5</v>
      </c>
      <c r="K166" s="169" t="n">
        <v>0.06</v>
      </c>
      <c r="L166" s="169" t="n">
        <v>0.06</v>
      </c>
      <c r="M166" s="167" t="n"/>
      <c r="N166" s="169">
        <f>A166*((SUM(F166:I166))+(J166*1950*80))</f>
        <v/>
      </c>
      <c r="O166" s="169">
        <f>A166*J166</f>
        <v/>
      </c>
      <c r="P166" s="169">
        <f>A166*K166</f>
        <v/>
      </c>
      <c r="Q166" s="169">
        <f>A166*L166</f>
        <v/>
      </c>
      <c r="R166" s="169">
        <f>1-P166</f>
        <v/>
      </c>
      <c r="S166" s="169">
        <f>1-Q166</f>
        <v/>
      </c>
      <c r="T166" s="169" t="n"/>
    </row>
    <row r="167" ht="12.75" customHeight="1">
      <c r="A167" s="169" t="n"/>
      <c r="B167" s="167" t="n"/>
      <c r="C167" s="180" t="inlineStr">
        <is>
          <t>ID.RA-10: Critical suppliers are assessed prior to acquisition</t>
        </is>
      </c>
      <c r="D167" s="181" t="inlineStr">
        <is>
          <t>NIST CSF 2.0</t>
        </is>
      </c>
      <c r="E167" s="169" t="n"/>
      <c r="F167" s="169" t="n"/>
      <c r="G167" s="169" t="n"/>
      <c r="H167" s="169" t="n">
        <v>10000</v>
      </c>
      <c r="I167" s="169" t="n"/>
      <c r="J167" s="169" t="n">
        <v>0.5</v>
      </c>
      <c r="K167" s="169" t="n">
        <v>0.06</v>
      </c>
      <c r="L167" s="169" t="n">
        <v>0.06</v>
      </c>
      <c r="M167" s="167" t="n"/>
      <c r="N167" s="169">
        <f>A167*((SUM(F167:I167))+(J167*1950*80))</f>
        <v/>
      </c>
      <c r="O167" s="169">
        <f>A167*J167</f>
        <v/>
      </c>
      <c r="P167" s="169">
        <f>A167*K167</f>
        <v/>
      </c>
      <c r="Q167" s="169">
        <f>A167*L167</f>
        <v/>
      </c>
      <c r="R167" s="169">
        <f>1-P167</f>
        <v/>
      </c>
      <c r="S167" s="169">
        <f>1-Q167</f>
        <v/>
      </c>
      <c r="T167" s="169" t="n"/>
    </row>
    <row r="168" ht="15" customHeight="1">
      <c r="A168" s="169" t="n"/>
      <c r="B168" s="167" t="n"/>
      <c r="C168" s="179" t="inlineStr">
        <is>
          <t>ID.IM Improvement</t>
        </is>
      </c>
      <c r="D168" s="11" t="n"/>
      <c r="E168" s="11" t="n"/>
      <c r="F168" s="11" t="n"/>
      <c r="G168" s="11" t="n"/>
      <c r="H168" s="11" t="n"/>
      <c r="I168" s="11" t="n"/>
      <c r="J168" s="12" t="n"/>
      <c r="K168" s="11" t="n"/>
      <c r="L168" s="13" t="n"/>
      <c r="M168" s="167" t="n"/>
      <c r="N168" s="169" t="n"/>
      <c r="O168" s="169" t="n"/>
      <c r="P168" s="169" t="n"/>
      <c r="Q168" s="169" t="n"/>
      <c r="R168" s="167" t="n"/>
      <c r="S168" s="169" t="n"/>
      <c r="T168" s="169" t="n"/>
    </row>
    <row r="169" ht="12.75" customHeight="1">
      <c r="A169" s="169" t="n"/>
      <c r="B169" s="167" t="n"/>
      <c r="C169" s="180" t="inlineStr">
        <is>
          <t>ID.IM-01: Improvements are identified from evaluations</t>
        </is>
      </c>
      <c r="D169" s="181" t="inlineStr">
        <is>
          <t>NIST CSF 2.0</t>
        </is>
      </c>
      <c r="E169" s="169" t="n"/>
      <c r="F169" s="169" t="n"/>
      <c r="G169" s="169" t="n"/>
      <c r="H169" s="169" t="n">
        <v>10000</v>
      </c>
      <c r="I169" s="169" t="n"/>
      <c r="J169" s="169" t="n">
        <v>0.5</v>
      </c>
      <c r="K169" s="169" t="n">
        <v>0.06</v>
      </c>
      <c r="L169" s="169" t="n">
        <v>0.06</v>
      </c>
      <c r="M169" s="167" t="n"/>
      <c r="N169" s="169">
        <f>A169*((SUM(F169:I169))+(J169*1950*80))</f>
        <v/>
      </c>
      <c r="O169" s="169">
        <f>A169*J169</f>
        <v/>
      </c>
      <c r="P169" s="169">
        <f>A169*K169</f>
        <v/>
      </c>
      <c r="Q169" s="169">
        <f>A169*L169</f>
        <v/>
      </c>
      <c r="R169" s="169">
        <f>1-P169</f>
        <v/>
      </c>
      <c r="S169" s="169">
        <f>1-Q169</f>
        <v/>
      </c>
      <c r="T169" s="169" t="n"/>
    </row>
    <row r="170" ht="12.75" customHeight="1" thickBot="1">
      <c r="A170" s="169" t="n"/>
      <c r="B170" s="167" t="n"/>
      <c r="C170" s="180" t="inlineStr">
        <is>
          <t>ID.IM-02: Improvements are identified from security tests and exercises, including those done in coordination with suppliers and relevant third parties</t>
        </is>
      </c>
      <c r="D170" s="181" t="inlineStr">
        <is>
          <t>NIST CSF 2.0</t>
        </is>
      </c>
      <c r="E170" s="169" t="n"/>
      <c r="F170" s="169" t="n"/>
      <c r="G170" s="169" t="n"/>
      <c r="H170" s="169" t="n">
        <v>10000</v>
      </c>
      <c r="I170" s="169" t="n"/>
      <c r="J170" s="169" t="n">
        <v>0.5</v>
      </c>
      <c r="K170" s="169" t="n">
        <v>0.06</v>
      </c>
      <c r="L170" s="169" t="n">
        <v>0.06</v>
      </c>
      <c r="M170" s="167" t="n"/>
      <c r="N170" s="169">
        <f>A170*((SUM(F170:I170))+(J170*1950*80))</f>
        <v/>
      </c>
      <c r="O170" s="169">
        <f>A170*J170</f>
        <v/>
      </c>
      <c r="P170" s="169">
        <f>A170*K170</f>
        <v/>
      </c>
      <c r="Q170" s="169">
        <f>A170*L170</f>
        <v/>
      </c>
      <c r="R170" s="169">
        <f>1-P170</f>
        <v/>
      </c>
      <c r="S170" s="169">
        <f>1-Q170</f>
        <v/>
      </c>
      <c r="T170" s="169" t="n"/>
    </row>
    <row r="171" ht="12.75" customHeight="1" thickBot="1">
      <c r="A171" s="169" t="n"/>
      <c r="B171" s="167" t="n"/>
      <c r="C171" s="180" t="inlineStr">
        <is>
          <t>ID.IM-03: Improvements are identified from execution of operational processes, procedures, and activities</t>
        </is>
      </c>
      <c r="D171" s="181" t="inlineStr">
        <is>
          <t>NIST CSF 2.0</t>
        </is>
      </c>
      <c r="E171" s="169" t="n"/>
      <c r="F171" s="169" t="n"/>
      <c r="G171" s="169" t="n"/>
      <c r="H171" s="169" t="n">
        <v>10000</v>
      </c>
      <c r="I171" s="169" t="n"/>
      <c r="J171" s="169" t="n">
        <v>0.5</v>
      </c>
      <c r="K171" s="169" t="n">
        <v>0.06</v>
      </c>
      <c r="L171" s="169" t="n">
        <v>0.06</v>
      </c>
      <c r="M171" s="167" t="n"/>
      <c r="N171" s="169">
        <f>A171*((SUM(F171:I171))+(J171*1950*80))</f>
        <v/>
      </c>
      <c r="O171" s="169">
        <f>A171*J171</f>
        <v/>
      </c>
      <c r="P171" s="169">
        <f>A171*K171</f>
        <v/>
      </c>
      <c r="Q171" s="169">
        <f>A171*L171</f>
        <v/>
      </c>
      <c r="R171" s="169">
        <f>1-P171</f>
        <v/>
      </c>
      <c r="S171" s="169">
        <f>1-Q171</f>
        <v/>
      </c>
      <c r="T171" s="169" t="n"/>
    </row>
    <row r="172" ht="12.75" customHeight="1" thickBot="1">
      <c r="A172" s="169" t="n"/>
      <c r="B172" s="167" t="n"/>
      <c r="C172" s="180" t="inlineStr">
        <is>
          <t>ID.IM-04: Incident response plans and other cybersecurity plans that affect operations are established, communicated, maintained, and improved</t>
        </is>
      </c>
      <c r="D172" s="181" t="inlineStr">
        <is>
          <t>NIST CSF 2.0</t>
        </is>
      </c>
      <c r="E172" s="169" t="n"/>
      <c r="F172" s="169" t="n"/>
      <c r="G172" s="169" t="n"/>
      <c r="H172" s="169" t="n">
        <v>10000</v>
      </c>
      <c r="I172" s="169" t="n"/>
      <c r="J172" s="169" t="n">
        <v>0.5</v>
      </c>
      <c r="K172" s="169" t="n">
        <v>0.06</v>
      </c>
      <c r="L172" s="169" t="n">
        <v>0.06</v>
      </c>
      <c r="M172" s="167" t="n"/>
      <c r="N172" s="169">
        <f>A172*((SUM(F172:I172))+(J172*1950*80))</f>
        <v/>
      </c>
      <c r="O172" s="169">
        <f>A172*J172</f>
        <v/>
      </c>
      <c r="P172" s="169">
        <f>A172*K172</f>
        <v/>
      </c>
      <c r="Q172" s="169">
        <f>A172*L172</f>
        <v/>
      </c>
      <c r="R172" s="169">
        <f>1-P172</f>
        <v/>
      </c>
      <c r="S172" s="169">
        <f>1-Q172</f>
        <v/>
      </c>
      <c r="T172" s="169" t="n"/>
    </row>
    <row r="173" ht="15" customHeight="1" thickBot="1">
      <c r="A173" s="167" t="n"/>
      <c r="B173" s="167" t="n"/>
      <c r="C173" s="168" t="inlineStr">
        <is>
          <t>PROTECT (PR)</t>
        </is>
      </c>
      <c r="D173" s="22" t="n"/>
      <c r="E173" s="22" t="n"/>
      <c r="F173" s="22" t="n"/>
      <c r="G173" s="22" t="n"/>
      <c r="H173" s="22" t="n"/>
      <c r="I173" s="22" t="n"/>
      <c r="J173" s="27" t="n"/>
      <c r="K173" s="22" t="n"/>
      <c r="L173" s="28" t="n"/>
      <c r="M173" s="167" t="n"/>
      <c r="N173" s="167" t="n"/>
      <c r="O173" s="167" t="n"/>
      <c r="P173" s="167" t="n"/>
      <c r="Q173" s="167" t="n"/>
      <c r="R173" s="167" t="n"/>
      <c r="S173" s="169" t="n"/>
      <c r="T173" s="169" t="n"/>
    </row>
    <row r="174" ht="15" customHeight="1">
      <c r="A174" s="169" t="n"/>
      <c r="B174" s="167" t="n"/>
      <c r="C174" s="179" t="inlineStr">
        <is>
          <t>PR.AA Identity Management, Authentication, and Access Control</t>
        </is>
      </c>
      <c r="D174" s="11" t="n"/>
      <c r="E174" s="11" t="n"/>
      <c r="F174" s="11" t="n"/>
      <c r="G174" s="11" t="n"/>
      <c r="H174" s="11" t="n"/>
      <c r="I174" s="11" t="n"/>
      <c r="J174" s="12" t="n"/>
      <c r="K174" s="11" t="n"/>
      <c r="L174" s="13" t="n"/>
      <c r="M174" s="167" t="n"/>
      <c r="N174" s="169" t="n"/>
      <c r="O174" s="169" t="n"/>
      <c r="P174" s="169" t="n"/>
      <c r="Q174" s="169" t="n"/>
      <c r="R174" s="167" t="n"/>
      <c r="S174" s="169" t="n"/>
      <c r="T174" s="169" t="n"/>
    </row>
    <row r="175" ht="12.75" customHeight="1">
      <c r="A175" s="169" t="n"/>
      <c r="B175" s="167" t="n"/>
      <c r="C175" s="180" t="inlineStr">
        <is>
          <t>PR.AA-01: Identities and credentials for authorized users, services, and hardware are managed by the organization</t>
        </is>
      </c>
      <c r="D175" s="181" t="inlineStr">
        <is>
          <t>NIST CSF 2.0</t>
        </is>
      </c>
      <c r="E175" s="169" t="n"/>
      <c r="F175" s="169" t="n"/>
      <c r="G175" s="169" t="n"/>
      <c r="H175" s="169" t="n">
        <v>10000</v>
      </c>
      <c r="I175" s="169" t="n"/>
      <c r="J175" s="169" t="n">
        <v>0.5</v>
      </c>
      <c r="K175" s="169" t="n">
        <v>0.06</v>
      </c>
      <c r="L175" s="169" t="n">
        <v>0.06</v>
      </c>
      <c r="M175" s="167" t="n"/>
      <c r="N175" s="169">
        <f>A175*((SUM(F175:I175))+(J175*1950*80))</f>
        <v/>
      </c>
      <c r="O175" s="169">
        <f>A175*J175</f>
        <v/>
      </c>
      <c r="P175" s="169">
        <f>A175*K175</f>
        <v/>
      </c>
      <c r="Q175" s="169">
        <f>A175*L175</f>
        <v/>
      </c>
      <c r="R175" s="169">
        <f>1-P175</f>
        <v/>
      </c>
      <c r="S175" s="169">
        <f>1-Q175</f>
        <v/>
      </c>
      <c r="T175" s="169" t="n"/>
    </row>
    <row r="176" ht="12.75" customHeight="1">
      <c r="A176" s="169" t="n"/>
      <c r="B176" s="167" t="n"/>
      <c r="C176" s="180" t="inlineStr">
        <is>
          <t>PR.AA-02: Identities are proofed and bound to credentials based on the context of interactions</t>
        </is>
      </c>
      <c r="D176" s="181" t="inlineStr">
        <is>
          <t>NIST CSF 2.0</t>
        </is>
      </c>
      <c r="E176" s="169" t="n"/>
      <c r="F176" s="169" t="n"/>
      <c r="G176" s="169" t="n"/>
      <c r="H176" s="169" t="n">
        <v>10000</v>
      </c>
      <c r="I176" s="169" t="n"/>
      <c r="J176" s="169" t="n">
        <v>0.5</v>
      </c>
      <c r="K176" s="169" t="n">
        <v>0.06</v>
      </c>
      <c r="L176" s="169" t="n">
        <v>0.06</v>
      </c>
      <c r="M176" s="167" t="n"/>
      <c r="N176" s="169">
        <f>A176*((SUM(F176:I176))+(J176*1950*80))</f>
        <v/>
      </c>
      <c r="O176" s="169">
        <f>A176*J176</f>
        <v/>
      </c>
      <c r="P176" s="169">
        <f>A176*K176</f>
        <v/>
      </c>
      <c r="Q176" s="169">
        <f>A176*L176</f>
        <v/>
      </c>
      <c r="R176" s="169">
        <f>1-P176</f>
        <v/>
      </c>
      <c r="S176" s="169">
        <f>1-Q176</f>
        <v/>
      </c>
      <c r="T176" s="169" t="n"/>
    </row>
    <row r="177" ht="12.75" customHeight="1">
      <c r="A177" s="169" t="n"/>
      <c r="B177" s="167" t="n"/>
      <c r="C177" s="180" t="inlineStr">
        <is>
          <t>PR.AA-03: Users, services, and hardware are authenticated</t>
        </is>
      </c>
      <c r="D177" s="181" t="inlineStr">
        <is>
          <t>NIST CSF 2.0</t>
        </is>
      </c>
      <c r="E177" s="169" t="n"/>
      <c r="F177" s="169" t="n"/>
      <c r="G177" s="169" t="n"/>
      <c r="H177" s="169" t="n">
        <v>10000</v>
      </c>
      <c r="I177" s="169" t="n"/>
      <c r="J177" s="169" t="n">
        <v>0.5</v>
      </c>
      <c r="K177" s="169" t="n">
        <v>0.06</v>
      </c>
      <c r="L177" s="169" t="n">
        <v>0.06</v>
      </c>
      <c r="M177" s="167" t="n"/>
      <c r="N177" s="169">
        <f>A177*((SUM(F177:I177))+(J177*1950*80))</f>
        <v/>
      </c>
      <c r="O177" s="169">
        <f>A177*J177</f>
        <v/>
      </c>
      <c r="P177" s="169">
        <f>A177*K177</f>
        <v/>
      </c>
      <c r="Q177" s="169">
        <f>A177*L177</f>
        <v/>
      </c>
      <c r="R177" s="169">
        <f>1-P177</f>
        <v/>
      </c>
      <c r="S177" s="169">
        <f>1-Q177</f>
        <v/>
      </c>
      <c r="T177" s="169" t="n"/>
    </row>
    <row r="178" ht="12.75" customHeight="1">
      <c r="A178" s="169" t="n"/>
      <c r="B178" s="167" t="n"/>
      <c r="C178" s="180" t="inlineStr">
        <is>
          <t>PR.AA-04: Identity assertions are protected, conveyed, and verified</t>
        </is>
      </c>
      <c r="D178" s="181" t="inlineStr">
        <is>
          <t>NIST CSF 2.0</t>
        </is>
      </c>
      <c r="E178" s="169" t="n"/>
      <c r="F178" s="169" t="n"/>
      <c r="G178" s="169" t="n"/>
      <c r="H178" s="169" t="n">
        <v>10000</v>
      </c>
      <c r="I178" s="169" t="n"/>
      <c r="J178" s="169" t="n">
        <v>0.5</v>
      </c>
      <c r="K178" s="169" t="n">
        <v>0.06</v>
      </c>
      <c r="L178" s="169" t="n">
        <v>0.06</v>
      </c>
      <c r="M178" s="167" t="n"/>
      <c r="N178" s="169">
        <f>A178*((SUM(F178:I178))+(J178*1950*80))</f>
        <v/>
      </c>
      <c r="O178" s="169">
        <f>A178*J178</f>
        <v/>
      </c>
      <c r="P178" s="169">
        <f>A178*K178</f>
        <v/>
      </c>
      <c r="Q178" s="169">
        <f>A178*L178</f>
        <v/>
      </c>
      <c r="R178" s="169">
        <f>1-P178</f>
        <v/>
      </c>
      <c r="S178" s="169">
        <f>1-Q178</f>
        <v/>
      </c>
      <c r="T178" s="169" t="n"/>
    </row>
    <row r="179" ht="12.75" customHeight="1">
      <c r="A179" s="169" t="n"/>
      <c r="B179" s="167" t="n"/>
      <c r="C179" s="180" t="inlineStr">
        <is>
          <t>PR.AA-05: Access permissions, entitlements, and authorizations are defined in a policy, managed, enforced, and reviewed, and incorporate the principles of least privilege and separation of duties</t>
        </is>
      </c>
      <c r="D179" s="181" t="inlineStr">
        <is>
          <t>NIST CSF 2.0</t>
        </is>
      </c>
      <c r="E179" s="169" t="n"/>
      <c r="F179" s="169" t="n"/>
      <c r="G179" s="169" t="n"/>
      <c r="H179" s="169" t="n">
        <v>10000</v>
      </c>
      <c r="I179" s="169" t="n"/>
      <c r="J179" s="169" t="n">
        <v>0.5</v>
      </c>
      <c r="K179" s="169" t="n">
        <v>0.06</v>
      </c>
      <c r="L179" s="169" t="n">
        <v>0.06</v>
      </c>
      <c r="M179" s="167" t="n"/>
      <c r="N179" s="169">
        <f>A179*((SUM(F179:I179))+(J179*1950*80))</f>
        <v/>
      </c>
      <c r="O179" s="169">
        <f>A179*J179</f>
        <v/>
      </c>
      <c r="P179" s="169">
        <f>A179*K179</f>
        <v/>
      </c>
      <c r="Q179" s="169">
        <f>A179*L179</f>
        <v/>
      </c>
      <c r="R179" s="169">
        <f>1-P179</f>
        <v/>
      </c>
      <c r="S179" s="169">
        <f>1-Q179</f>
        <v/>
      </c>
      <c r="T179" s="169" t="n"/>
    </row>
    <row r="180" ht="12.75" customHeight="1" thickBot="1">
      <c r="A180" s="169" t="n"/>
      <c r="B180" s="167" t="n"/>
      <c r="C180" s="180" t="inlineStr">
        <is>
          <t>PR.AA-06: Physical access to assets is managed, monitored, and enforced commensurate with risk</t>
        </is>
      </c>
      <c r="D180" s="181" t="inlineStr">
        <is>
          <t>NIST CSF 2.0</t>
        </is>
      </c>
      <c r="E180" s="169" t="n"/>
      <c r="F180" s="169" t="n"/>
      <c r="G180" s="169" t="n"/>
      <c r="H180" s="169" t="n">
        <v>10000</v>
      </c>
      <c r="I180" s="169" t="n"/>
      <c r="J180" s="169" t="n">
        <v>0.5</v>
      </c>
      <c r="K180" s="169" t="n">
        <v>0.06</v>
      </c>
      <c r="L180" s="169" t="n">
        <v>0.06</v>
      </c>
      <c r="M180" s="167" t="n"/>
      <c r="N180" s="169">
        <f>A180*((SUM(F180:I180))+(J180*1950*80))</f>
        <v/>
      </c>
      <c r="O180" s="169">
        <f>A180*J180</f>
        <v/>
      </c>
      <c r="P180" s="169">
        <f>A180*K180</f>
        <v/>
      </c>
      <c r="Q180" s="169">
        <f>A180*L180</f>
        <v/>
      </c>
      <c r="R180" s="169">
        <f>1-P180</f>
        <v/>
      </c>
      <c r="S180" s="169">
        <f>1-Q180</f>
        <v/>
      </c>
      <c r="T180" s="169" t="n"/>
    </row>
    <row r="181" ht="15" customHeight="1" thickBot="1">
      <c r="A181" s="169" t="n"/>
      <c r="B181" s="167" t="n"/>
      <c r="C181" s="179" t="inlineStr">
        <is>
          <t>PR.AT Awareness and Training</t>
        </is>
      </c>
      <c r="D181" s="11" t="n"/>
      <c r="E181" s="11" t="n"/>
      <c r="F181" s="11" t="n"/>
      <c r="G181" s="11" t="n"/>
      <c r="H181" s="11" t="n"/>
      <c r="I181" s="11" t="n"/>
      <c r="J181" s="12" t="n"/>
      <c r="K181" s="11" t="n"/>
      <c r="L181" s="13" t="n"/>
      <c r="M181" s="167" t="n"/>
      <c r="N181" s="169" t="n"/>
      <c r="O181" s="169" t="n"/>
      <c r="P181" s="169" t="n"/>
      <c r="Q181" s="169" t="n"/>
      <c r="R181" s="167" t="n"/>
      <c r="S181" s="169" t="n"/>
      <c r="T181" s="169" t="n"/>
    </row>
    <row r="182" ht="12.75" customHeight="1">
      <c r="A182" s="169" t="n"/>
      <c r="B182" s="167" t="n"/>
      <c r="C182" s="180" t="inlineStr">
        <is>
          <t>PR.AT-01: Personnel are provided with awareness and training so that they possess the knowledge and skills to perform general tasks with cybersecurity risks in mind</t>
        </is>
      </c>
      <c r="D182" s="181" t="inlineStr">
        <is>
          <t>NIST CSF 2.0</t>
        </is>
      </c>
      <c r="E182" s="169" t="n"/>
      <c r="F182" s="169" t="n"/>
      <c r="G182" s="169" t="n"/>
      <c r="H182" s="169" t="n">
        <v>10000</v>
      </c>
      <c r="I182" s="169" t="n"/>
      <c r="J182" s="169" t="n">
        <v>0.5</v>
      </c>
      <c r="K182" s="169" t="n">
        <v>0.06</v>
      </c>
      <c r="L182" s="169" t="n">
        <v>0.06</v>
      </c>
      <c r="M182" s="167" t="n"/>
      <c r="N182" s="169">
        <f>A182*((SUM(F182:I182))+(J182*1950*80))</f>
        <v/>
      </c>
      <c r="O182" s="169">
        <f>A182*J182</f>
        <v/>
      </c>
      <c r="P182" s="169">
        <f>A182*K182</f>
        <v/>
      </c>
      <c r="Q182" s="169">
        <f>A182*L182</f>
        <v/>
      </c>
      <c r="R182" s="169">
        <f>1-P182</f>
        <v/>
      </c>
      <c r="S182" s="169">
        <f>1-Q182</f>
        <v/>
      </c>
      <c r="T182" s="169" t="n"/>
    </row>
    <row r="183" ht="12.75" customHeight="1">
      <c r="A183" s="169" t="n"/>
      <c r="B183" s="167" t="n"/>
      <c r="C183" s="180" t="inlineStr">
        <is>
          <t>PR.AT-02: Individuals in specialized roles are provided with awareness and training so that they possess the knowledge and skills to perform relevant tasks with cybersecurity risks in mind</t>
        </is>
      </c>
      <c r="D183" s="181" t="inlineStr">
        <is>
          <t>NIST CSF 2.0</t>
        </is>
      </c>
      <c r="E183" s="169" t="n"/>
      <c r="F183" s="169" t="n"/>
      <c r="G183" s="169" t="n"/>
      <c r="H183" s="169" t="n">
        <v>10000</v>
      </c>
      <c r="I183" s="169" t="n"/>
      <c r="J183" s="169" t="n">
        <v>0.5</v>
      </c>
      <c r="K183" s="169" t="n">
        <v>0.06</v>
      </c>
      <c r="L183" s="169" t="n">
        <v>0.06</v>
      </c>
      <c r="M183" s="167" t="n"/>
      <c r="N183" s="169">
        <f>A183*((SUM(F183:I183))+(J183*1950*80))</f>
        <v/>
      </c>
      <c r="O183" s="169">
        <f>A183*J183</f>
        <v/>
      </c>
      <c r="P183" s="169">
        <f>A183*K183</f>
        <v/>
      </c>
      <c r="Q183" s="169">
        <f>A183*L183</f>
        <v/>
      </c>
      <c r="R183" s="169">
        <f>1-P183</f>
        <v/>
      </c>
      <c r="S183" s="169">
        <f>1-Q183</f>
        <v/>
      </c>
      <c r="T183" s="169" t="n"/>
    </row>
    <row r="184" ht="15" customHeight="1">
      <c r="A184" s="169" t="n"/>
      <c r="B184" s="167" t="n"/>
      <c r="C184" s="179" t="inlineStr">
        <is>
          <t>PR.DS Data Security</t>
        </is>
      </c>
      <c r="D184" s="11" t="n"/>
      <c r="E184" s="11" t="n"/>
      <c r="F184" s="11" t="n"/>
      <c r="G184" s="11" t="n"/>
      <c r="H184" s="11" t="n"/>
      <c r="I184" s="11" t="n"/>
      <c r="J184" s="12" t="n"/>
      <c r="K184" s="11" t="n"/>
      <c r="L184" s="13" t="n"/>
      <c r="M184" s="167" t="n"/>
      <c r="N184" s="169" t="n"/>
      <c r="O184" s="169" t="n"/>
      <c r="P184" s="169" t="n"/>
      <c r="Q184" s="169" t="n"/>
      <c r="R184" s="167" t="n"/>
      <c r="S184" s="169" t="n"/>
      <c r="T184" s="169" t="n"/>
    </row>
    <row r="185" ht="12.75" customHeight="1" thickBot="1">
      <c r="A185" s="169" t="n"/>
      <c r="B185" s="167" t="n"/>
      <c r="C185" s="180" t="inlineStr">
        <is>
          <t>PR.DS-01: The confidentiality, integrity, and availability of data-at-rest are protected</t>
        </is>
      </c>
      <c r="D185" s="181" t="inlineStr">
        <is>
          <t>NIST CSF 2.0</t>
        </is>
      </c>
      <c r="E185" s="169" t="n"/>
      <c r="F185" s="169" t="n"/>
      <c r="G185" s="169" t="n"/>
      <c r="H185" s="169" t="n">
        <v>10000</v>
      </c>
      <c r="I185" s="169" t="n"/>
      <c r="J185" s="169" t="n">
        <v>0.5</v>
      </c>
      <c r="K185" s="169" t="n">
        <v>0.06</v>
      </c>
      <c r="L185" s="169" t="n">
        <v>0.06</v>
      </c>
      <c r="M185" s="167" t="n"/>
      <c r="N185" s="169">
        <f>A185*((SUM(F185:I185))+(J185*1950*80))</f>
        <v/>
      </c>
      <c r="O185" s="169">
        <f>A185*J185</f>
        <v/>
      </c>
      <c r="P185" s="169">
        <f>A185*K185</f>
        <v/>
      </c>
      <c r="Q185" s="169">
        <f>A185*L185</f>
        <v/>
      </c>
      <c r="R185" s="169">
        <f>1-P185</f>
        <v/>
      </c>
      <c r="S185" s="169">
        <f>1-Q185</f>
        <v/>
      </c>
      <c r="T185" s="169" t="n"/>
    </row>
    <row r="186" ht="12.75" customHeight="1" thickBot="1">
      <c r="A186" s="169" t="n"/>
      <c r="B186" s="167" t="n"/>
      <c r="C186" s="180" t="inlineStr">
        <is>
          <t>PR.DS-02: The confidentiality, integrity, and availability of data-in-transit are protected</t>
        </is>
      </c>
      <c r="D186" s="181" t="inlineStr">
        <is>
          <t>NIST CSF 2.0</t>
        </is>
      </c>
      <c r="E186" s="169" t="n"/>
      <c r="F186" s="169" t="n"/>
      <c r="G186" s="169" t="n"/>
      <c r="H186" s="169" t="n">
        <v>10000</v>
      </c>
      <c r="I186" s="169" t="n"/>
      <c r="J186" s="169" t="n">
        <v>0.5</v>
      </c>
      <c r="K186" s="169" t="n">
        <v>0.06</v>
      </c>
      <c r="L186" s="169" t="n">
        <v>0.06</v>
      </c>
      <c r="M186" s="167" t="n"/>
      <c r="N186" s="169">
        <f>A186*((SUM(F186:I186))+(J186*1950*80))</f>
        <v/>
      </c>
      <c r="O186" s="169">
        <f>A186*J186</f>
        <v/>
      </c>
      <c r="P186" s="169">
        <f>A186*K186</f>
        <v/>
      </c>
      <c r="Q186" s="169">
        <f>A186*L186</f>
        <v/>
      </c>
      <c r="R186" s="169">
        <f>1-P186</f>
        <v/>
      </c>
      <c r="S186" s="169">
        <f>1-Q186</f>
        <v/>
      </c>
      <c r="T186" s="169" t="n"/>
    </row>
    <row r="187" ht="12.75" customHeight="1">
      <c r="A187" s="169" t="n"/>
      <c r="B187" s="167" t="n"/>
      <c r="C187" s="180" t="inlineStr">
        <is>
          <t>PR.DS-10: The confidentiality, integrity, and availability of data-in-use are protected</t>
        </is>
      </c>
      <c r="D187" s="181" t="inlineStr">
        <is>
          <t>NIST CSF 2.0</t>
        </is>
      </c>
      <c r="E187" s="169" t="n"/>
      <c r="F187" s="169" t="n"/>
      <c r="G187" s="169" t="n"/>
      <c r="H187" s="169" t="n">
        <v>10000</v>
      </c>
      <c r="I187" s="169" t="n"/>
      <c r="J187" s="169" t="n">
        <v>0.5</v>
      </c>
      <c r="K187" s="169" t="n">
        <v>0.06</v>
      </c>
      <c r="L187" s="169" t="n">
        <v>0.06</v>
      </c>
      <c r="M187" s="167" t="n"/>
      <c r="N187" s="169">
        <f>A187*((SUM(F187:I187))+(J187*1950*80))</f>
        <v/>
      </c>
      <c r="O187" s="169">
        <f>A187*J187</f>
        <v/>
      </c>
      <c r="P187" s="169">
        <f>A187*K187</f>
        <v/>
      </c>
      <c r="Q187" s="169">
        <f>A187*L187</f>
        <v/>
      </c>
      <c r="R187" s="169">
        <f>1-P187</f>
        <v/>
      </c>
      <c r="S187" s="169">
        <f>1-Q187</f>
        <v/>
      </c>
      <c r="T187" s="169" t="n"/>
    </row>
    <row r="188" ht="12.75" customHeight="1">
      <c r="A188" s="169" t="n"/>
      <c r="B188" s="167" t="n"/>
      <c r="C188" s="180" t="inlineStr">
        <is>
          <t>PR.DS-11: Backups of data are created, protected, maintained, and tested</t>
        </is>
      </c>
      <c r="D188" s="181" t="inlineStr">
        <is>
          <t>NIST CSF 2.0</t>
        </is>
      </c>
      <c r="E188" s="169" t="n"/>
      <c r="F188" s="169" t="n"/>
      <c r="G188" s="169" t="n"/>
      <c r="H188" s="169" t="n">
        <v>10000</v>
      </c>
      <c r="I188" s="169" t="n"/>
      <c r="J188" s="169" t="n">
        <v>0.5</v>
      </c>
      <c r="K188" s="169" t="n">
        <v>0.06</v>
      </c>
      <c r="L188" s="169" t="n">
        <v>0.06</v>
      </c>
      <c r="M188" s="167" t="n"/>
      <c r="N188" s="169">
        <f>A188*((SUM(F188:I188))+(J188*1950*80))</f>
        <v/>
      </c>
      <c r="O188" s="169">
        <f>A188*J188</f>
        <v/>
      </c>
      <c r="P188" s="169">
        <f>A188*K188</f>
        <v/>
      </c>
      <c r="Q188" s="169">
        <f>A188*L188</f>
        <v/>
      </c>
      <c r="R188" s="169">
        <f>1-P188</f>
        <v/>
      </c>
      <c r="S188" s="169">
        <f>1-Q188</f>
        <v/>
      </c>
      <c r="T188" s="169" t="n"/>
    </row>
    <row r="189" ht="15" customHeight="1">
      <c r="A189" s="169" t="n"/>
      <c r="B189" s="167" t="n"/>
      <c r="C189" s="179" t="inlineStr">
        <is>
          <t>PR.PS Platform Security</t>
        </is>
      </c>
      <c r="D189" s="11" t="n"/>
      <c r="E189" s="11" t="n"/>
      <c r="F189" s="11" t="n"/>
      <c r="G189" s="11" t="n"/>
      <c r="H189" s="11" t="n"/>
      <c r="I189" s="11" t="n"/>
      <c r="J189" s="12" t="n"/>
      <c r="K189" s="11" t="n"/>
      <c r="L189" s="13" t="n"/>
      <c r="M189" s="167" t="n"/>
      <c r="N189" s="169" t="n"/>
      <c r="O189" s="169" t="n"/>
      <c r="P189" s="169" t="n"/>
      <c r="Q189" s="169" t="n"/>
      <c r="R189" s="167" t="n"/>
      <c r="S189" s="169" t="n"/>
      <c r="T189" s="169" t="n"/>
    </row>
    <row r="190" ht="12.75" customHeight="1">
      <c r="A190" s="169" t="n"/>
      <c r="B190" s="167" t="n"/>
      <c r="C190" s="180" t="inlineStr">
        <is>
          <t>PR.PS-01: Configuration management practices are established and applied</t>
        </is>
      </c>
      <c r="D190" s="181" t="inlineStr">
        <is>
          <t>NIST CSF 2.0</t>
        </is>
      </c>
      <c r="E190" s="169" t="n"/>
      <c r="F190" s="169" t="n"/>
      <c r="G190" s="169" t="n"/>
      <c r="H190" s="169" t="n">
        <v>10000</v>
      </c>
      <c r="I190" s="169" t="n"/>
      <c r="J190" s="169" t="n">
        <v>0.5</v>
      </c>
      <c r="K190" s="169" t="n">
        <v>0.06</v>
      </c>
      <c r="L190" s="169" t="n">
        <v>0.06</v>
      </c>
      <c r="M190" s="167" t="n"/>
      <c r="N190" s="169">
        <f>A190*((SUM(F190:I190))+(J190*1950*80))</f>
        <v/>
      </c>
      <c r="O190" s="169">
        <f>A190*J190</f>
        <v/>
      </c>
      <c r="P190" s="169">
        <f>A190*K190</f>
        <v/>
      </c>
      <c r="Q190" s="169">
        <f>A190*L190</f>
        <v/>
      </c>
      <c r="R190" s="169">
        <f>1-P190</f>
        <v/>
      </c>
      <c r="S190" s="169">
        <f>1-Q190</f>
        <v/>
      </c>
      <c r="T190" s="169" t="n"/>
    </row>
    <row r="191" ht="12.75" customHeight="1">
      <c r="A191" s="169" t="n"/>
      <c r="B191" s="167" t="n"/>
      <c r="C191" s="180" t="inlineStr">
        <is>
          <t>PR.PS-02: Software is maintained, replaced, and removed commensurate with risk</t>
        </is>
      </c>
      <c r="D191" s="181" t="inlineStr">
        <is>
          <t>NIST CSF 2.0</t>
        </is>
      </c>
      <c r="E191" s="169" t="n"/>
      <c r="F191" s="169" t="n"/>
      <c r="G191" s="169" t="n"/>
      <c r="H191" s="169" t="n">
        <v>10000</v>
      </c>
      <c r="I191" s="169" t="n"/>
      <c r="J191" s="169" t="n">
        <v>0.5</v>
      </c>
      <c r="K191" s="169" t="n">
        <v>0.06</v>
      </c>
      <c r="L191" s="169" t="n">
        <v>0.06</v>
      </c>
      <c r="M191" s="167" t="n"/>
      <c r="N191" s="169">
        <f>A191*((SUM(F191:I191))+(J191*1950*80))</f>
        <v/>
      </c>
      <c r="O191" s="169">
        <f>A191*J191</f>
        <v/>
      </c>
      <c r="P191" s="169">
        <f>A191*K191</f>
        <v/>
      </c>
      <c r="Q191" s="169">
        <f>A191*L191</f>
        <v/>
      </c>
      <c r="R191" s="169">
        <f>1-P191</f>
        <v/>
      </c>
      <c r="S191" s="169">
        <f>1-Q191</f>
        <v/>
      </c>
      <c r="T191" s="169" t="n"/>
    </row>
    <row r="192" ht="12.75" customHeight="1" thickBot="1">
      <c r="A192" s="169" t="n"/>
      <c r="B192" s="167" t="n"/>
      <c r="C192" s="180" t="inlineStr">
        <is>
          <t>PR.PS-03: Hardware is maintained, replaced, and removed commensurate with risk</t>
        </is>
      </c>
      <c r="D192" s="181" t="inlineStr">
        <is>
          <t>NIST CSF 2.0</t>
        </is>
      </c>
      <c r="E192" s="169" t="n"/>
      <c r="F192" s="169" t="n"/>
      <c r="G192" s="169" t="n"/>
      <c r="H192" s="169" t="n">
        <v>10000</v>
      </c>
      <c r="I192" s="169" t="n"/>
      <c r="J192" s="169" t="n">
        <v>0.5</v>
      </c>
      <c r="K192" s="169" t="n">
        <v>0.06</v>
      </c>
      <c r="L192" s="169" t="n">
        <v>0.06</v>
      </c>
      <c r="M192" s="167" t="n"/>
      <c r="N192" s="169">
        <f>A192*((SUM(F192:I192))+(J192*1950*80))</f>
        <v/>
      </c>
      <c r="O192" s="169">
        <f>A192*J192</f>
        <v/>
      </c>
      <c r="P192" s="169">
        <f>A192*K192</f>
        <v/>
      </c>
      <c r="Q192" s="169">
        <f>A192*L192</f>
        <v/>
      </c>
      <c r="R192" s="169">
        <f>1-P192</f>
        <v/>
      </c>
      <c r="S192" s="169">
        <f>1-Q192</f>
        <v/>
      </c>
      <c r="T192" s="169" t="n"/>
    </row>
    <row r="193" ht="12.75" customHeight="1" thickBot="1">
      <c r="A193" s="169" t="n"/>
      <c r="B193" s="167" t="n"/>
      <c r="C193" s="180" t="inlineStr">
        <is>
          <t>PR.PS-04: Log records are generated and made available for continuous monitoring</t>
        </is>
      </c>
      <c r="D193" s="181" t="inlineStr">
        <is>
          <t>NIST CSF 2.0</t>
        </is>
      </c>
      <c r="E193" s="169" t="n"/>
      <c r="F193" s="169" t="n"/>
      <c r="G193" s="169" t="n"/>
      <c r="H193" s="169" t="n">
        <v>10000</v>
      </c>
      <c r="I193" s="169" t="n"/>
      <c r="J193" s="169" t="n">
        <v>0.5</v>
      </c>
      <c r="K193" s="169" t="n">
        <v>0.06</v>
      </c>
      <c r="L193" s="169" t="n">
        <v>0.06</v>
      </c>
      <c r="M193" s="167" t="n"/>
      <c r="N193" s="169">
        <f>A193*((SUM(F193:I193))+(J193*1950*80))</f>
        <v/>
      </c>
      <c r="O193" s="169">
        <f>A193*J193</f>
        <v/>
      </c>
      <c r="P193" s="169">
        <f>A193*K193</f>
        <v/>
      </c>
      <c r="Q193" s="169">
        <f>A193*L193</f>
        <v/>
      </c>
      <c r="R193" s="169">
        <f>1-P193</f>
        <v/>
      </c>
      <c r="S193" s="169">
        <f>1-Q193</f>
        <v/>
      </c>
      <c r="T193" s="169" t="n"/>
    </row>
    <row r="194" ht="12.75" customHeight="1">
      <c r="A194" s="169" t="n"/>
      <c r="B194" s="167" t="n"/>
      <c r="C194" s="180" t="inlineStr">
        <is>
          <t>PR.PS-05: Installation and execution of unauthorized software are prevented</t>
        </is>
      </c>
      <c r="D194" s="181" t="inlineStr">
        <is>
          <t>NIST CSF 2.0</t>
        </is>
      </c>
      <c r="E194" s="169" t="n"/>
      <c r="F194" s="169" t="n"/>
      <c r="G194" s="169" t="n"/>
      <c r="H194" s="169" t="n">
        <v>10000</v>
      </c>
      <c r="I194" s="169" t="n"/>
      <c r="J194" s="169" t="n">
        <v>0.5</v>
      </c>
      <c r="K194" s="169" t="n">
        <v>0.06</v>
      </c>
      <c r="L194" s="169" t="n">
        <v>0.06</v>
      </c>
      <c r="M194" s="167" t="n"/>
      <c r="N194" s="169">
        <f>A194*((SUM(F194:I194))+(J194*1950*80))</f>
        <v/>
      </c>
      <c r="O194" s="169">
        <f>A194*J194</f>
        <v/>
      </c>
      <c r="P194" s="169">
        <f>A194*K194</f>
        <v/>
      </c>
      <c r="Q194" s="169">
        <f>A194*L194</f>
        <v/>
      </c>
      <c r="R194" s="169">
        <f>1-P194</f>
        <v/>
      </c>
      <c r="S194" s="169">
        <f>1-Q194</f>
        <v/>
      </c>
      <c r="T194" s="169" t="n"/>
    </row>
    <row r="195" ht="12.75" customHeight="1">
      <c r="A195" s="169" t="n"/>
      <c r="B195" s="167" t="n"/>
      <c r="C195" s="180" t="inlineStr">
        <is>
          <t>PR.PS-06: Secure software development practices are integrated, and their performance is monitored throughout the software development life cycle</t>
        </is>
      </c>
      <c r="D195" s="181" t="inlineStr">
        <is>
          <t>NIST CSF 2.0</t>
        </is>
      </c>
      <c r="E195" s="169" t="n"/>
      <c r="F195" s="169" t="n"/>
      <c r="G195" s="169" t="n"/>
      <c r="H195" s="169" t="n">
        <v>10000</v>
      </c>
      <c r="I195" s="169" t="n"/>
      <c r="J195" s="169" t="n">
        <v>0.5</v>
      </c>
      <c r="K195" s="169" t="n">
        <v>0.06</v>
      </c>
      <c r="L195" s="169" t="n">
        <v>0.06</v>
      </c>
      <c r="M195" s="167" t="n"/>
      <c r="N195" s="169">
        <f>A195*((SUM(F195:I195))+(J195*1950*80))</f>
        <v/>
      </c>
      <c r="O195" s="169">
        <f>A195*J195</f>
        <v/>
      </c>
      <c r="P195" s="169">
        <f>A195*K195</f>
        <v/>
      </c>
      <c r="Q195" s="169">
        <f>A195*L195</f>
        <v/>
      </c>
      <c r="R195" s="169">
        <f>1-P195</f>
        <v/>
      </c>
      <c r="S195" s="169">
        <f>1-Q195</f>
        <v/>
      </c>
      <c r="T195" s="169" t="n"/>
    </row>
    <row r="196" ht="15" customHeight="1" thickBot="1">
      <c r="A196" s="169" t="n"/>
      <c r="B196" s="167" t="n"/>
      <c r="C196" s="179" t="inlineStr">
        <is>
          <t>PR.IR Technology Infrastructure Resilience</t>
        </is>
      </c>
      <c r="D196" s="11" t="n"/>
      <c r="E196" s="11" t="n"/>
      <c r="F196" s="11" t="n"/>
      <c r="G196" s="11" t="n"/>
      <c r="H196" s="11" t="n"/>
      <c r="I196" s="11" t="n"/>
      <c r="J196" s="12" t="n"/>
      <c r="K196" s="11" t="n"/>
      <c r="L196" s="13" t="n"/>
      <c r="M196" s="167" t="n"/>
      <c r="N196" s="169" t="n"/>
      <c r="O196" s="169" t="n"/>
      <c r="P196" s="169" t="n"/>
      <c r="Q196" s="169" t="n"/>
      <c r="R196" s="167" t="n"/>
      <c r="S196" s="169" t="n"/>
      <c r="T196" s="169" t="n"/>
    </row>
    <row r="197" ht="12.75" customHeight="1" thickBot="1">
      <c r="A197" s="169" t="n"/>
      <c r="B197" s="167" t="n"/>
      <c r="C197" s="180" t="inlineStr">
        <is>
          <t>PR.IR-01: Networks and environments are protected from unauthorized logical access and usage</t>
        </is>
      </c>
      <c r="D197" s="181" t="inlineStr">
        <is>
          <t>NIST CSF 2.0</t>
        </is>
      </c>
      <c r="E197" s="169" t="n"/>
      <c r="F197" s="169" t="n"/>
      <c r="G197" s="169" t="n"/>
      <c r="H197" s="169" t="n">
        <v>10000</v>
      </c>
      <c r="I197" s="169" t="n"/>
      <c r="J197" s="169" t="n">
        <v>0.5</v>
      </c>
      <c r="K197" s="169" t="n">
        <v>0.06</v>
      </c>
      <c r="L197" s="169" t="n">
        <v>0.06</v>
      </c>
      <c r="M197" s="167" t="n"/>
      <c r="N197" s="169">
        <f>A197*((SUM(F197:I197))+(J197*1950*80))</f>
        <v/>
      </c>
      <c r="O197" s="169">
        <f>A197*J197</f>
        <v/>
      </c>
      <c r="P197" s="169">
        <f>A197*K197</f>
        <v/>
      </c>
      <c r="Q197" s="169">
        <f>A197*L197</f>
        <v/>
      </c>
      <c r="R197" s="169">
        <f>1-P197</f>
        <v/>
      </c>
      <c r="S197" s="169">
        <f>1-Q197</f>
        <v/>
      </c>
      <c r="T197" s="169" t="n"/>
    </row>
    <row r="198" ht="12.75" customHeight="1">
      <c r="A198" s="169" t="n"/>
      <c r="B198" s="167" t="n"/>
      <c r="C198" s="180" t="inlineStr">
        <is>
          <t>PR.IR-02: The organization's technology assets are protected from environmental threats</t>
        </is>
      </c>
      <c r="D198" s="181" t="inlineStr">
        <is>
          <t>NIST CSF 2.0</t>
        </is>
      </c>
      <c r="E198" s="169" t="n"/>
      <c r="F198" s="169" t="n"/>
      <c r="G198" s="169" t="n"/>
      <c r="H198" s="169" t="n">
        <v>10000</v>
      </c>
      <c r="I198" s="169" t="n"/>
      <c r="J198" s="169" t="n">
        <v>0.5</v>
      </c>
      <c r="K198" s="169" t="n">
        <v>0.06</v>
      </c>
      <c r="L198" s="169" t="n">
        <v>0.06</v>
      </c>
      <c r="M198" s="167" t="n"/>
      <c r="N198" s="169">
        <f>A198*((SUM(F198:I198))+(J198*1950*80))</f>
        <v/>
      </c>
      <c r="O198" s="169">
        <f>A198*J198</f>
        <v/>
      </c>
      <c r="P198" s="169">
        <f>A198*K198</f>
        <v/>
      </c>
      <c r="Q198" s="169">
        <f>A198*L198</f>
        <v/>
      </c>
      <c r="R198" s="169">
        <f>1-P198</f>
        <v/>
      </c>
      <c r="S198" s="169">
        <f>1-Q198</f>
        <v/>
      </c>
      <c r="T198" s="169" t="n"/>
    </row>
    <row r="199" ht="12.75" customHeight="1">
      <c r="A199" s="169" t="n"/>
      <c r="B199" s="167" t="n"/>
      <c r="C199" s="180" t="inlineStr">
        <is>
          <t>PR.IR-03: Mechanisms are implemented to achieve resilience requirements in normal and adverse situations</t>
        </is>
      </c>
      <c r="D199" s="181" t="inlineStr">
        <is>
          <t>NIST CSF 2.0</t>
        </is>
      </c>
      <c r="E199" s="169" t="n"/>
      <c r="F199" s="169" t="n"/>
      <c r="G199" s="169" t="n"/>
      <c r="H199" s="169" t="n">
        <v>10000</v>
      </c>
      <c r="I199" s="169" t="n"/>
      <c r="J199" s="169" t="n">
        <v>0.5</v>
      </c>
      <c r="K199" s="169" t="n">
        <v>0.06</v>
      </c>
      <c r="L199" s="169" t="n">
        <v>0.06</v>
      </c>
      <c r="M199" s="167" t="n"/>
      <c r="N199" s="169">
        <f>A199*((SUM(F199:I199))+(J199*1950*80))</f>
        <v/>
      </c>
      <c r="O199" s="169">
        <f>A199*J199</f>
        <v/>
      </c>
      <c r="P199" s="169">
        <f>A199*K199</f>
        <v/>
      </c>
      <c r="Q199" s="169">
        <f>A199*L199</f>
        <v/>
      </c>
      <c r="R199" s="169">
        <f>1-P199</f>
        <v/>
      </c>
      <c r="S199" s="169">
        <f>1-Q199</f>
        <v/>
      </c>
      <c r="T199" s="169" t="n"/>
    </row>
    <row r="200" ht="12.75" customHeight="1">
      <c r="A200" s="169" t="n"/>
      <c r="B200" s="167" t="n"/>
      <c r="C200" s="180" t="inlineStr">
        <is>
          <t>PR.IR-04: Adequate resource capacity to ensure availability is maintained</t>
        </is>
      </c>
      <c r="D200" s="181" t="inlineStr">
        <is>
          <t>NIST CSF 2.0</t>
        </is>
      </c>
      <c r="E200" s="169" t="n"/>
      <c r="F200" s="169" t="n"/>
      <c r="G200" s="169" t="n"/>
      <c r="H200" s="169" t="n">
        <v>10000</v>
      </c>
      <c r="I200" s="169" t="n"/>
      <c r="J200" s="169" t="n">
        <v>0.5</v>
      </c>
      <c r="K200" s="169" t="n">
        <v>0.06</v>
      </c>
      <c r="L200" s="169" t="n">
        <v>0.06</v>
      </c>
      <c r="M200" s="167" t="n"/>
      <c r="N200" s="169">
        <f>A200*((SUM(F200:I200))+(J200*1950*80))</f>
        <v/>
      </c>
      <c r="O200" s="169">
        <f>A200*J200</f>
        <v/>
      </c>
      <c r="P200" s="169">
        <f>A200*K200</f>
        <v/>
      </c>
      <c r="Q200" s="169">
        <f>A200*L200</f>
        <v/>
      </c>
      <c r="R200" s="169">
        <f>1-P200</f>
        <v/>
      </c>
      <c r="S200" s="169">
        <f>1-Q200</f>
        <v/>
      </c>
      <c r="T200" s="169" t="n"/>
    </row>
    <row r="201" ht="15" customHeight="1">
      <c r="A201" s="167" t="n"/>
      <c r="B201" s="167" t="n"/>
      <c r="C201" s="168" t="inlineStr">
        <is>
          <t>DETECT (DE)</t>
        </is>
      </c>
      <c r="D201" s="22" t="n"/>
      <c r="E201" s="22" t="n"/>
      <c r="F201" s="22" t="n"/>
      <c r="G201" s="22" t="n"/>
      <c r="H201" s="22" t="n"/>
      <c r="I201" s="22" t="n"/>
      <c r="J201" s="27" t="n"/>
      <c r="K201" s="22" t="n"/>
      <c r="L201" s="28" t="n"/>
      <c r="M201" s="167" t="n"/>
      <c r="N201" s="167" t="n"/>
      <c r="O201" s="167" t="n"/>
      <c r="P201" s="167" t="n"/>
      <c r="Q201" s="167" t="n"/>
      <c r="R201" s="167" t="n"/>
      <c r="S201" s="169" t="n"/>
      <c r="T201" s="169" t="n"/>
    </row>
    <row r="202" ht="15" customHeight="1">
      <c r="A202" s="169" t="n"/>
      <c r="B202" s="167" t="n"/>
      <c r="C202" s="179" t="inlineStr">
        <is>
          <t>DE.CM Continuous Monitoring</t>
        </is>
      </c>
      <c r="D202" s="11" t="n"/>
      <c r="E202" s="11" t="n"/>
      <c r="F202" s="11" t="n"/>
      <c r="G202" s="11" t="n"/>
      <c r="H202" s="11" t="n"/>
      <c r="I202" s="11" t="n"/>
      <c r="J202" s="12" t="n"/>
      <c r="K202" s="11" t="n"/>
      <c r="L202" s="13" t="n"/>
      <c r="M202" s="167" t="n"/>
      <c r="N202" s="169" t="n"/>
      <c r="O202" s="169" t="n"/>
      <c r="P202" s="169" t="n"/>
      <c r="Q202" s="169" t="n"/>
      <c r="R202" s="167" t="n"/>
      <c r="S202" s="169" t="n"/>
      <c r="T202" s="169" t="n"/>
    </row>
    <row r="203" ht="12.75" customHeight="1">
      <c r="A203" s="169" t="n"/>
      <c r="B203" s="167" t="n"/>
      <c r="C203" s="180" t="inlineStr">
        <is>
          <t>DE.CM-01: Networks and network services are monitored to find potentially adverse events</t>
        </is>
      </c>
      <c r="D203" s="181" t="inlineStr">
        <is>
          <t>NIST CSF 2.0</t>
        </is>
      </c>
      <c r="E203" s="169" t="n"/>
      <c r="F203" s="169" t="n"/>
      <c r="G203" s="169" t="n"/>
      <c r="H203" s="169" t="n">
        <v>10000</v>
      </c>
      <c r="I203" s="169" t="n"/>
      <c r="J203" s="169" t="n">
        <v>0.5</v>
      </c>
      <c r="K203" s="169" t="n">
        <v>0.06</v>
      </c>
      <c r="L203" s="169" t="n">
        <v>0.06</v>
      </c>
      <c r="M203" s="167" t="n"/>
      <c r="N203" s="169">
        <f>A203*((SUM(F203:I203))+(J203*1950*80))</f>
        <v/>
      </c>
      <c r="O203" s="169">
        <f>A203*J203</f>
        <v/>
      </c>
      <c r="P203" s="169">
        <f>A203*K203</f>
        <v/>
      </c>
      <c r="Q203" s="169">
        <f>A203*L203</f>
        <v/>
      </c>
      <c r="R203" s="169">
        <f>1-P203</f>
        <v/>
      </c>
      <c r="S203" s="169">
        <f>1-Q203</f>
        <v/>
      </c>
      <c r="T203" s="169" t="n"/>
    </row>
    <row r="204" ht="12.75" customHeight="1" thickBot="1">
      <c r="A204" s="169" t="n"/>
      <c r="B204" s="167" t="n"/>
      <c r="C204" s="180" t="inlineStr">
        <is>
          <t>DE.CM-02: The physical environment is monitored to find potentially adverse events</t>
        </is>
      </c>
      <c r="D204" s="181" t="inlineStr">
        <is>
          <t>NIST CSF 2.0</t>
        </is>
      </c>
      <c r="E204" s="169" t="n"/>
      <c r="F204" s="169" t="n"/>
      <c r="G204" s="169" t="n"/>
      <c r="H204" s="169" t="n">
        <v>10000</v>
      </c>
      <c r="I204" s="169" t="n"/>
      <c r="J204" s="169" t="n">
        <v>0.5</v>
      </c>
      <c r="K204" s="169" t="n">
        <v>0.06</v>
      </c>
      <c r="L204" s="169" t="n">
        <v>0.06</v>
      </c>
      <c r="M204" s="167" t="n"/>
      <c r="N204" s="169">
        <f>A204*((SUM(F204:I204))+(J204*1950*80))</f>
        <v/>
      </c>
      <c r="O204" s="169">
        <f>A204*J204</f>
        <v/>
      </c>
      <c r="P204" s="169">
        <f>A204*K204</f>
        <v/>
      </c>
      <c r="Q204" s="169">
        <f>A204*L204</f>
        <v/>
      </c>
      <c r="R204" s="169">
        <f>1-P204</f>
        <v/>
      </c>
      <c r="S204" s="169">
        <f>1-Q204</f>
        <v/>
      </c>
      <c r="T204" s="169" t="n"/>
    </row>
    <row r="205" ht="12.75" customHeight="1" thickBot="1">
      <c r="A205" s="169" t="n"/>
      <c r="B205" s="167" t="n"/>
      <c r="C205" s="180" t="inlineStr">
        <is>
          <t>DE.CM-03: Personnel activity and technology usage are monitored to find potentially adverse events</t>
        </is>
      </c>
      <c r="D205" s="181" t="inlineStr">
        <is>
          <t>NIST CSF 2.0</t>
        </is>
      </c>
      <c r="E205" s="169" t="n"/>
      <c r="F205" s="169" t="n"/>
      <c r="G205" s="169" t="n"/>
      <c r="H205" s="169" t="n">
        <v>10000</v>
      </c>
      <c r="I205" s="169" t="n"/>
      <c r="J205" s="169" t="n">
        <v>0.5</v>
      </c>
      <c r="K205" s="169" t="n">
        <v>0.06</v>
      </c>
      <c r="L205" s="169" t="n">
        <v>0.06</v>
      </c>
      <c r="M205" s="167" t="n"/>
      <c r="N205" s="169">
        <f>A205*((SUM(F205:I205))+(J205*1950*80))</f>
        <v/>
      </c>
      <c r="O205" s="169">
        <f>A205*J205</f>
        <v/>
      </c>
      <c r="P205" s="169">
        <f>A205*K205</f>
        <v/>
      </c>
      <c r="Q205" s="169">
        <f>A205*L205</f>
        <v/>
      </c>
      <c r="R205" s="169">
        <f>1-P205</f>
        <v/>
      </c>
      <c r="S205" s="169">
        <f>1-Q205</f>
        <v/>
      </c>
      <c r="T205" s="169" t="n"/>
    </row>
    <row r="206" ht="12.75" customHeight="1">
      <c r="A206" s="169" t="n"/>
      <c r="B206" s="167" t="n"/>
      <c r="C206" s="180" t="inlineStr">
        <is>
          <t>DE.CM-06: External service provider activities and services are monitored to find potentially adverse events</t>
        </is>
      </c>
      <c r="D206" s="181" t="inlineStr">
        <is>
          <t>NIST CSF 2.0</t>
        </is>
      </c>
      <c r="E206" s="169" t="n"/>
      <c r="F206" s="169" t="n"/>
      <c r="G206" s="169" t="n"/>
      <c r="H206" s="169" t="n">
        <v>10000</v>
      </c>
      <c r="I206" s="169" t="n"/>
      <c r="J206" s="169" t="n">
        <v>0.5</v>
      </c>
      <c r="K206" s="169" t="n">
        <v>0.06</v>
      </c>
      <c r="L206" s="169" t="n">
        <v>0.06</v>
      </c>
      <c r="M206" s="167" t="n"/>
      <c r="N206" s="169">
        <f>A206*((SUM(F206:I206))+(J206*1950*80))</f>
        <v/>
      </c>
      <c r="O206" s="169">
        <f>A206*J206</f>
        <v/>
      </c>
      <c r="P206" s="169">
        <f>A206*K206</f>
        <v/>
      </c>
      <c r="Q206" s="169">
        <f>A206*L206</f>
        <v/>
      </c>
      <c r="R206" s="169">
        <f>1-P206</f>
        <v/>
      </c>
      <c r="S206" s="169">
        <f>1-Q206</f>
        <v/>
      </c>
      <c r="T206" s="169" t="n"/>
    </row>
    <row r="207" ht="12.75" customHeight="1">
      <c r="A207" s="169" t="n"/>
      <c r="B207" s="167" t="n"/>
      <c r="C207" s="180" t="inlineStr">
        <is>
          <t>DE.CM-09: Computing hardware and software, runtime environments, and their data are monitored to find potentially adverse events</t>
        </is>
      </c>
      <c r="D207" s="181" t="inlineStr">
        <is>
          <t>NIST CSF 2.0</t>
        </is>
      </c>
      <c r="E207" s="169" t="n"/>
      <c r="F207" s="169" t="n"/>
      <c r="G207" s="169" t="n"/>
      <c r="H207" s="169" t="n">
        <v>10000</v>
      </c>
      <c r="I207" s="169" t="n"/>
      <c r="J207" s="169" t="n">
        <v>0.5</v>
      </c>
      <c r="K207" s="169" t="n">
        <v>0.06</v>
      </c>
      <c r="L207" s="169" t="n">
        <v>0.06</v>
      </c>
      <c r="M207" s="167" t="n"/>
      <c r="N207" s="169">
        <f>A207*((SUM(F207:I207))+(J207*1950*80))</f>
        <v/>
      </c>
      <c r="O207" s="169">
        <f>A207*J207</f>
        <v/>
      </c>
      <c r="P207" s="169">
        <f>A207*K207</f>
        <v/>
      </c>
      <c r="Q207" s="169">
        <f>A207*L207</f>
        <v/>
      </c>
      <c r="R207" s="169">
        <f>1-P207</f>
        <v/>
      </c>
      <c r="S207" s="169">
        <f>1-Q207</f>
        <v/>
      </c>
      <c r="T207" s="169" t="n"/>
    </row>
    <row r="208" ht="15" customHeight="1">
      <c r="A208" s="169" t="n"/>
      <c r="B208" s="167" t="n"/>
      <c r="C208" s="179" t="inlineStr">
        <is>
          <t>DE.AE Adverse Event Analysis</t>
        </is>
      </c>
      <c r="D208" s="11" t="n"/>
      <c r="E208" s="11" t="n"/>
      <c r="F208" s="11" t="n"/>
      <c r="G208" s="11" t="n"/>
      <c r="H208" s="11" t="n"/>
      <c r="I208" s="11" t="n"/>
      <c r="J208" s="12" t="n"/>
      <c r="K208" s="11" t="n"/>
      <c r="L208" s="13" t="n"/>
      <c r="M208" s="167" t="n"/>
      <c r="N208" s="169" t="n"/>
      <c r="O208" s="169" t="n"/>
      <c r="P208" s="169" t="n"/>
      <c r="Q208" s="169" t="n"/>
      <c r="R208" s="167" t="n"/>
      <c r="S208" s="169" t="n"/>
      <c r="T208" s="169" t="n"/>
    </row>
    <row r="209" ht="12.75" customHeight="1" thickBot="1">
      <c r="A209" s="169" t="n"/>
      <c r="B209" s="167" t="n"/>
      <c r="C209" s="180" t="inlineStr">
        <is>
          <t>DE.AE-02: Potentially adverse events are analyzed to better understand associated activities</t>
        </is>
      </c>
      <c r="D209" s="181" t="inlineStr">
        <is>
          <t>NIST CSF 2.0</t>
        </is>
      </c>
      <c r="E209" s="169" t="n"/>
      <c r="F209" s="169" t="n"/>
      <c r="G209" s="169" t="n"/>
      <c r="H209" s="169" t="n">
        <v>10000</v>
      </c>
      <c r="I209" s="169" t="n"/>
      <c r="J209" s="169" t="n">
        <v>0.5</v>
      </c>
      <c r="K209" s="169" t="n">
        <v>0.06</v>
      </c>
      <c r="L209" s="169" t="n">
        <v>0.06</v>
      </c>
      <c r="M209" s="167" t="n"/>
      <c r="N209" s="169">
        <f>A209*((SUM(F209:I209))+(J209*1950*80))</f>
        <v/>
      </c>
      <c r="O209" s="169">
        <f>A209*J209</f>
        <v/>
      </c>
      <c r="P209" s="169">
        <f>A209*K209</f>
        <v/>
      </c>
      <c r="Q209" s="169">
        <f>A209*L209</f>
        <v/>
      </c>
      <c r="R209" s="169">
        <f>1-P209</f>
        <v/>
      </c>
      <c r="S209" s="169">
        <f>1-Q209</f>
        <v/>
      </c>
      <c r="T209" s="169" t="n"/>
    </row>
    <row r="210" ht="12.75" customHeight="1" thickBot="1">
      <c r="A210" s="169" t="n"/>
      <c r="B210" s="167" t="n"/>
      <c r="C210" s="180" t="inlineStr">
        <is>
          <t>DE.AE-03: Information is correlated from multiple sources</t>
        </is>
      </c>
      <c r="D210" s="181" t="inlineStr">
        <is>
          <t>NIST CSF 2.0</t>
        </is>
      </c>
      <c r="E210" s="169" t="n"/>
      <c r="F210" s="169" t="n"/>
      <c r="G210" s="169" t="n"/>
      <c r="H210" s="169" t="n">
        <v>10000</v>
      </c>
      <c r="I210" s="169" t="n"/>
      <c r="J210" s="169" t="n">
        <v>0.5</v>
      </c>
      <c r="K210" s="169" t="n">
        <v>0.06</v>
      </c>
      <c r="L210" s="169" t="n">
        <v>0.06</v>
      </c>
      <c r="M210" s="167" t="n"/>
      <c r="N210" s="169">
        <f>A210*((SUM(F210:I210))+(J210*1950*80))</f>
        <v/>
      </c>
      <c r="O210" s="169">
        <f>A210*J210</f>
        <v/>
      </c>
      <c r="P210" s="169">
        <f>A210*K210</f>
        <v/>
      </c>
      <c r="Q210" s="169">
        <f>A210*L210</f>
        <v/>
      </c>
      <c r="R210" s="169">
        <f>1-P210</f>
        <v/>
      </c>
      <c r="S210" s="169">
        <f>1-Q210</f>
        <v/>
      </c>
      <c r="T210" s="169" t="n"/>
    </row>
    <row r="211" ht="12.75" customHeight="1">
      <c r="A211" s="169" t="n"/>
      <c r="B211" s="167" t="n"/>
      <c r="C211" s="180" t="inlineStr">
        <is>
          <t>DE.AE-04: The estimated impact and scope of adverse events are understood</t>
        </is>
      </c>
      <c r="D211" s="181" t="inlineStr">
        <is>
          <t>NIST CSF 2.0</t>
        </is>
      </c>
      <c r="E211" s="169" t="n"/>
      <c r="F211" s="169" t="n"/>
      <c r="G211" s="169" t="n"/>
      <c r="H211" s="169" t="n">
        <v>10000</v>
      </c>
      <c r="I211" s="169" t="n"/>
      <c r="J211" s="169" t="n">
        <v>0.5</v>
      </c>
      <c r="K211" s="169" t="n">
        <v>0.06</v>
      </c>
      <c r="L211" s="169" t="n">
        <v>0.06</v>
      </c>
      <c r="M211" s="167" t="n"/>
      <c r="N211" s="169">
        <f>A211*((SUM(F211:I211))+(J211*1950*80))</f>
        <v/>
      </c>
      <c r="O211" s="169">
        <f>A211*J211</f>
        <v/>
      </c>
      <c r="P211" s="169">
        <f>A211*K211</f>
        <v/>
      </c>
      <c r="Q211" s="169">
        <f>A211*L211</f>
        <v/>
      </c>
      <c r="R211" s="169">
        <f>1-P211</f>
        <v/>
      </c>
      <c r="S211" s="169">
        <f>1-Q211</f>
        <v/>
      </c>
      <c r="T211" s="169" t="n"/>
    </row>
    <row r="212" ht="12.75" customHeight="1">
      <c r="A212" s="169" t="n"/>
      <c r="B212" s="167" t="n"/>
      <c r="C212" s="180" t="inlineStr">
        <is>
          <t>DE.AE-06: Information on adverse events is provided to authorized staff and tools</t>
        </is>
      </c>
      <c r="D212" s="181" t="inlineStr">
        <is>
          <t>NIST CSF 2.0</t>
        </is>
      </c>
      <c r="E212" s="169" t="n"/>
      <c r="F212" s="169" t="n"/>
      <c r="G212" s="169" t="n"/>
      <c r="H212" s="169" t="n">
        <v>10000</v>
      </c>
      <c r="I212" s="169" t="n"/>
      <c r="J212" s="169" t="n">
        <v>0.5</v>
      </c>
      <c r="K212" s="169" t="n">
        <v>0.06</v>
      </c>
      <c r="L212" s="169" t="n">
        <v>0.06</v>
      </c>
      <c r="M212" s="167" t="n"/>
      <c r="N212" s="169">
        <f>A212*((SUM(F212:I212))+(J212*1950*80))</f>
        <v/>
      </c>
      <c r="O212" s="169">
        <f>A212*J212</f>
        <v/>
      </c>
      <c r="P212" s="169">
        <f>A212*K212</f>
        <v/>
      </c>
      <c r="Q212" s="169">
        <f>A212*L212</f>
        <v/>
      </c>
      <c r="R212" s="169">
        <f>1-P212</f>
        <v/>
      </c>
      <c r="S212" s="169">
        <f>1-Q212</f>
        <v/>
      </c>
      <c r="T212" s="169" t="n"/>
    </row>
    <row r="213" ht="12.75" customHeight="1">
      <c r="A213" s="169" t="n"/>
      <c r="B213" s="167" t="n"/>
      <c r="C213" s="180" t="inlineStr">
        <is>
          <t>DE.AE-07: Cyber threat intelligence and other contextual information are integrated into the analysis</t>
        </is>
      </c>
      <c r="D213" s="181" t="inlineStr">
        <is>
          <t>NIST CSF 2.0</t>
        </is>
      </c>
      <c r="E213" s="169" t="n"/>
      <c r="F213" s="169" t="n"/>
      <c r="G213" s="169" t="n"/>
      <c r="H213" s="169" t="n">
        <v>10000</v>
      </c>
      <c r="I213" s="169" t="n"/>
      <c r="J213" s="169" t="n">
        <v>0.5</v>
      </c>
      <c r="K213" s="169" t="n">
        <v>0.06</v>
      </c>
      <c r="L213" s="169" t="n">
        <v>0.06</v>
      </c>
      <c r="M213" s="167" t="n"/>
      <c r="N213" s="169">
        <f>A213*((SUM(F213:I213))+(J213*1950*80))</f>
        <v/>
      </c>
      <c r="O213" s="169">
        <f>A213*J213</f>
        <v/>
      </c>
      <c r="P213" s="169">
        <f>A213*K213</f>
        <v/>
      </c>
      <c r="Q213" s="169">
        <f>A213*L213</f>
        <v/>
      </c>
      <c r="R213" s="169">
        <f>1-P213</f>
        <v/>
      </c>
      <c r="S213" s="169">
        <f>1-Q213</f>
        <v/>
      </c>
      <c r="T213" s="169" t="n"/>
    </row>
    <row r="214" ht="12.75" customHeight="1">
      <c r="A214" s="169" t="n"/>
      <c r="B214" s="167" t="n"/>
      <c r="C214" s="180" t="inlineStr">
        <is>
          <t>DE.AE-08: Incidents are declared when adverse events meet the defined incident criteria</t>
        </is>
      </c>
      <c r="D214" s="181" t="inlineStr">
        <is>
          <t>NIST CSF 2.0</t>
        </is>
      </c>
      <c r="E214" s="169" t="n"/>
      <c r="F214" s="169" t="n"/>
      <c r="G214" s="169" t="n"/>
      <c r="H214" s="169" t="n">
        <v>10000</v>
      </c>
      <c r="I214" s="169" t="n"/>
      <c r="J214" s="169" t="n">
        <v>0.5</v>
      </c>
      <c r="K214" s="169" t="n">
        <v>0.06</v>
      </c>
      <c r="L214" s="169" t="n">
        <v>0.06</v>
      </c>
      <c r="M214" s="167" t="n"/>
      <c r="N214" s="169">
        <f>A214*((SUM(F214:I214))+(J214*1950*80))</f>
        <v/>
      </c>
      <c r="O214" s="169">
        <f>A214*J214</f>
        <v/>
      </c>
      <c r="P214" s="169">
        <f>A214*K214</f>
        <v/>
      </c>
      <c r="Q214" s="169">
        <f>A214*L214</f>
        <v/>
      </c>
      <c r="R214" s="169">
        <f>1-P214</f>
        <v/>
      </c>
      <c r="S214" s="169">
        <f>1-Q214</f>
        <v/>
      </c>
      <c r="T214" s="169" t="n"/>
    </row>
    <row r="215" ht="15" customHeight="1">
      <c r="A215" s="167" t="n"/>
      <c r="B215" s="167" t="n"/>
      <c r="C215" s="168" t="inlineStr">
        <is>
          <t>RESPOND (RS)</t>
        </is>
      </c>
      <c r="D215" s="22" t="n"/>
      <c r="E215" s="22" t="n"/>
      <c r="F215" s="22" t="n"/>
      <c r="G215" s="22" t="n"/>
      <c r="H215" s="22" t="n"/>
      <c r="I215" s="22" t="n"/>
      <c r="J215" s="27" t="n"/>
      <c r="K215" s="22" t="n"/>
      <c r="L215" s="28" t="n"/>
      <c r="M215" s="167" t="n"/>
      <c r="N215" s="167" t="n"/>
      <c r="O215" s="167" t="n"/>
      <c r="P215" s="167" t="n"/>
      <c r="Q215" s="167" t="n"/>
      <c r="R215" s="167" t="n"/>
      <c r="S215" s="169" t="n"/>
      <c r="T215" s="169" t="n"/>
    </row>
    <row r="216" ht="15" customHeight="1">
      <c r="A216" s="169" t="n"/>
      <c r="B216" s="167" t="n"/>
      <c r="C216" s="179" t="inlineStr">
        <is>
          <t>RS.MA Incident Management</t>
        </is>
      </c>
      <c r="D216" s="11" t="n"/>
      <c r="E216" s="11" t="n"/>
      <c r="F216" s="11" t="n"/>
      <c r="G216" s="11" t="n"/>
      <c r="H216" s="11" t="n"/>
      <c r="I216" s="11" t="n"/>
      <c r="J216" s="12" t="n"/>
      <c r="K216" s="11" t="n"/>
      <c r="L216" s="13" t="n"/>
      <c r="M216" s="167" t="n"/>
      <c r="N216" s="169" t="n"/>
      <c r="O216" s="169" t="n"/>
      <c r="P216" s="169" t="n"/>
      <c r="Q216" s="169" t="n"/>
      <c r="R216" s="167" t="n"/>
      <c r="S216" s="169" t="n"/>
      <c r="T216" s="169" t="n"/>
    </row>
    <row r="217" ht="12.75" customHeight="1">
      <c r="A217" s="169" t="n"/>
      <c r="B217" s="167" t="n"/>
      <c r="C217" s="180" t="inlineStr">
        <is>
          <t>RS.MA-01: The incident response plan is executed in coordination with relevant third parties once an incident is declared</t>
        </is>
      </c>
      <c r="D217" s="181" t="inlineStr">
        <is>
          <t>NIST CSF 2.0</t>
        </is>
      </c>
      <c r="E217" s="169" t="n"/>
      <c r="F217" s="169" t="n"/>
      <c r="G217" s="169" t="n"/>
      <c r="H217" s="169" t="n">
        <v>10000</v>
      </c>
      <c r="I217" s="169" t="n"/>
      <c r="J217" s="169" t="n">
        <v>0.5</v>
      </c>
      <c r="K217" s="169" t="n">
        <v>0.06</v>
      </c>
      <c r="L217" s="169" t="n">
        <v>0.06</v>
      </c>
      <c r="M217" s="167" t="n"/>
      <c r="N217" s="169">
        <f>A217*((SUM(F217:I217))+(J217*1950*80))</f>
        <v/>
      </c>
      <c r="O217" s="169">
        <f>A217*J217</f>
        <v/>
      </c>
      <c r="P217" s="169">
        <f>A217*K217</f>
        <v/>
      </c>
      <c r="Q217" s="169">
        <f>A217*L217</f>
        <v/>
      </c>
      <c r="R217" s="169">
        <f>1-P217</f>
        <v/>
      </c>
      <c r="S217" s="169">
        <f>1-Q217</f>
        <v/>
      </c>
      <c r="T217" s="169" t="n"/>
    </row>
    <row r="218" ht="12.75" customHeight="1" thickBot="1">
      <c r="A218" s="169" t="n"/>
      <c r="B218" s="167" t="n"/>
      <c r="C218" s="180" t="inlineStr">
        <is>
          <t>RS.MA-02: Incident reports are triaged and validated</t>
        </is>
      </c>
      <c r="D218" s="181" t="inlineStr">
        <is>
          <t>NIST CSF 2.0</t>
        </is>
      </c>
      <c r="E218" s="169" t="n"/>
      <c r="F218" s="169" t="n"/>
      <c r="G218" s="169" t="n"/>
      <c r="H218" s="169" t="n">
        <v>10000</v>
      </c>
      <c r="I218" s="169" t="n"/>
      <c r="J218" s="169" t="n">
        <v>0.5</v>
      </c>
      <c r="K218" s="169" t="n">
        <v>0.06</v>
      </c>
      <c r="L218" s="169" t="n">
        <v>0.06</v>
      </c>
      <c r="M218" s="167" t="n"/>
      <c r="N218" s="169">
        <f>A218*((SUM(F218:I218))+(J218*1950*80))</f>
        <v/>
      </c>
      <c r="O218" s="169">
        <f>A218*J218</f>
        <v/>
      </c>
      <c r="P218" s="169">
        <f>A218*K218</f>
        <v/>
      </c>
      <c r="Q218" s="169">
        <f>A218*L218</f>
        <v/>
      </c>
      <c r="R218" s="169">
        <f>1-P218</f>
        <v/>
      </c>
      <c r="S218" s="169">
        <f>1-Q218</f>
        <v/>
      </c>
      <c r="T218" s="169" t="n"/>
    </row>
    <row r="219" ht="12.75" customHeight="1" thickBot="1">
      <c r="A219" s="169" t="n"/>
      <c r="B219" s="167" t="n"/>
      <c r="C219" s="180" t="inlineStr">
        <is>
          <t>RS.MA-03: Incidents are categorized and prioritized</t>
        </is>
      </c>
      <c r="D219" s="181" t="inlineStr">
        <is>
          <t>NIST CSF 2.0</t>
        </is>
      </c>
      <c r="E219" s="169" t="n"/>
      <c r="F219" s="169" t="n"/>
      <c r="G219" s="169" t="n"/>
      <c r="H219" s="169" t="n">
        <v>10000</v>
      </c>
      <c r="I219" s="169" t="n"/>
      <c r="J219" s="169" t="n">
        <v>0.5</v>
      </c>
      <c r="K219" s="169" t="n">
        <v>0.06</v>
      </c>
      <c r="L219" s="169" t="n">
        <v>0.06</v>
      </c>
      <c r="M219" s="167" t="n"/>
      <c r="N219" s="169">
        <f>A219*((SUM(F219:I219))+(J219*1950*80))</f>
        <v/>
      </c>
      <c r="O219" s="169">
        <f>A219*J219</f>
        <v/>
      </c>
      <c r="P219" s="169">
        <f>A219*K219</f>
        <v/>
      </c>
      <c r="Q219" s="169">
        <f>A219*L219</f>
        <v/>
      </c>
      <c r="R219" s="169">
        <f>1-P219</f>
        <v/>
      </c>
      <c r="S219" s="169">
        <f>1-Q219</f>
        <v/>
      </c>
      <c r="T219" s="169" t="n"/>
    </row>
    <row r="220" ht="12.75" customHeight="1">
      <c r="A220" s="169" t="n"/>
      <c r="B220" s="167" t="n"/>
      <c r="C220" s="180" t="inlineStr">
        <is>
          <t>RS.MA-04: Incidents are escalated or elevated as needed</t>
        </is>
      </c>
      <c r="D220" s="181" t="inlineStr">
        <is>
          <t>NIST CSF 2.0</t>
        </is>
      </c>
      <c r="E220" s="169" t="n"/>
      <c r="F220" s="169" t="n"/>
      <c r="G220" s="169" t="n"/>
      <c r="H220" s="169" t="n">
        <v>10000</v>
      </c>
      <c r="I220" s="169" t="n"/>
      <c r="J220" s="169" t="n">
        <v>0.5</v>
      </c>
      <c r="K220" s="169" t="n">
        <v>0.06</v>
      </c>
      <c r="L220" s="169" t="n">
        <v>0.06</v>
      </c>
      <c r="M220" s="167" t="n"/>
      <c r="N220" s="169">
        <f>A220*((SUM(F220:I220))+(J220*1950*80))</f>
        <v/>
      </c>
      <c r="O220" s="169">
        <f>A220*J220</f>
        <v/>
      </c>
      <c r="P220" s="169">
        <f>A220*K220</f>
        <v/>
      </c>
      <c r="Q220" s="169">
        <f>A220*L220</f>
        <v/>
      </c>
      <c r="R220" s="169">
        <f>1-P220</f>
        <v/>
      </c>
      <c r="S220" s="169">
        <f>1-Q220</f>
        <v/>
      </c>
      <c r="T220" s="169" t="n"/>
    </row>
    <row r="221" ht="12.75" customHeight="1">
      <c r="A221" s="169" t="n"/>
      <c r="B221" s="167" t="n"/>
      <c r="C221" s="180" t="inlineStr">
        <is>
          <t>RS.MA-05: The criteria for initiating incident recovery are applied</t>
        </is>
      </c>
      <c r="D221" s="181" t="inlineStr">
        <is>
          <t>NIST CSF 2.0</t>
        </is>
      </c>
      <c r="E221" s="169" t="n"/>
      <c r="F221" s="169" t="n"/>
      <c r="G221" s="169" t="n"/>
      <c r="H221" s="169" t="n">
        <v>10000</v>
      </c>
      <c r="I221" s="169" t="n"/>
      <c r="J221" s="169" t="n">
        <v>0.5</v>
      </c>
      <c r="K221" s="169" t="n">
        <v>0.06</v>
      </c>
      <c r="L221" s="169" t="n">
        <v>0.06</v>
      </c>
      <c r="M221" s="167" t="n"/>
      <c r="N221" s="169">
        <f>A221*((SUM(F221:I221))+(J221*1950*80))</f>
        <v/>
      </c>
      <c r="O221" s="169">
        <f>A221*J221</f>
        <v/>
      </c>
      <c r="P221" s="169">
        <f>A221*K221</f>
        <v/>
      </c>
      <c r="Q221" s="169">
        <f>A221*L221</f>
        <v/>
      </c>
      <c r="R221" s="169">
        <f>1-P221</f>
        <v/>
      </c>
      <c r="S221" s="169">
        <f>1-Q221</f>
        <v/>
      </c>
      <c r="T221" s="169" t="n"/>
    </row>
    <row r="222" ht="15" customHeight="1">
      <c r="A222" s="169" t="n"/>
      <c r="B222" s="167" t="n"/>
      <c r="C222" s="179" t="inlineStr">
        <is>
          <t>RS.AN Incident Analysis</t>
        </is>
      </c>
      <c r="D222" s="11" t="n"/>
      <c r="E222" s="11" t="n"/>
      <c r="F222" s="11" t="n"/>
      <c r="G222" s="11" t="n"/>
      <c r="H222" s="11" t="n"/>
      <c r="I222" s="11" t="n"/>
      <c r="J222" s="12" t="n"/>
      <c r="K222" s="11" t="n"/>
      <c r="L222" s="13" t="n"/>
      <c r="M222" s="167" t="n"/>
      <c r="N222" s="169" t="n"/>
      <c r="O222" s="169" t="n"/>
      <c r="P222" s="169" t="n"/>
      <c r="Q222" s="169" t="n"/>
      <c r="R222" s="167" t="n"/>
      <c r="S222" s="169" t="n"/>
      <c r="T222" s="169" t="n"/>
    </row>
    <row r="223" ht="12.75" customHeight="1">
      <c r="A223" s="169" t="n"/>
      <c r="B223" s="167" t="n"/>
      <c r="C223" s="180" t="inlineStr">
        <is>
          <t>RS.AN-03: Analysis is performed to establish what has taken place during an incident and the root cause of the incident</t>
        </is>
      </c>
      <c r="D223" s="181" t="inlineStr">
        <is>
          <t>NIST CSF 2.0</t>
        </is>
      </c>
      <c r="E223" s="169" t="n"/>
      <c r="F223" s="169" t="n"/>
      <c r="G223" s="169" t="n"/>
      <c r="H223" s="169" t="n">
        <v>10000</v>
      </c>
      <c r="I223" s="169" t="n"/>
      <c r="J223" s="169" t="n">
        <v>0.5</v>
      </c>
      <c r="K223" s="169" t="n">
        <v>0.06</v>
      </c>
      <c r="L223" s="169" t="n">
        <v>0.06</v>
      </c>
      <c r="M223" s="167" t="n"/>
      <c r="N223" s="169">
        <f>A223*((SUM(F223:I223))+(J223*1950*80))</f>
        <v/>
      </c>
      <c r="O223" s="169">
        <f>A223*J223</f>
        <v/>
      </c>
      <c r="P223" s="169">
        <f>A223*K223</f>
        <v/>
      </c>
      <c r="Q223" s="169">
        <f>A223*L223</f>
        <v/>
      </c>
      <c r="R223" s="169">
        <f>1-P223</f>
        <v/>
      </c>
      <c r="S223" s="169">
        <f>1-Q223</f>
        <v/>
      </c>
      <c r="T223" s="169" t="n"/>
    </row>
    <row r="224" ht="12.75" customHeight="1">
      <c r="A224" s="169" t="n"/>
      <c r="B224" s="167" t="n"/>
      <c r="C224" s="180" t="inlineStr">
        <is>
          <t>RS.AN-06: Actions performed during an investigation are recorded, and the records' integrity and provenance are preserved</t>
        </is>
      </c>
      <c r="D224" s="181" t="inlineStr">
        <is>
          <t>NIST CSF 2.0</t>
        </is>
      </c>
      <c r="E224" s="169" t="n"/>
      <c r="F224" s="169" t="n"/>
      <c r="G224" s="169" t="n"/>
      <c r="H224" s="169" t="n">
        <v>10000</v>
      </c>
      <c r="I224" s="169" t="n"/>
      <c r="J224" s="169" t="n">
        <v>0.5</v>
      </c>
      <c r="K224" s="169" t="n">
        <v>0.06</v>
      </c>
      <c r="L224" s="169" t="n">
        <v>0.06</v>
      </c>
      <c r="M224" s="167" t="n"/>
      <c r="N224" s="169">
        <f>A224*((SUM(F224:I224))+(J224*1950*80))</f>
        <v/>
      </c>
      <c r="O224" s="169">
        <f>A224*J224</f>
        <v/>
      </c>
      <c r="P224" s="169">
        <f>A224*K224</f>
        <v/>
      </c>
      <c r="Q224" s="169">
        <f>A224*L224</f>
        <v/>
      </c>
      <c r="R224" s="169">
        <f>1-P224</f>
        <v/>
      </c>
      <c r="S224" s="169">
        <f>1-Q224</f>
        <v/>
      </c>
      <c r="T224" s="169" t="n"/>
    </row>
    <row r="225" ht="12.75" customHeight="1">
      <c r="A225" s="169" t="n"/>
      <c r="B225" s="167" t="n"/>
      <c r="C225" s="180" t="inlineStr">
        <is>
          <t>RS.AN-07: Incident data and metadata are collected, and their integrity and provenance are preserved</t>
        </is>
      </c>
      <c r="D225" s="181" t="inlineStr">
        <is>
          <t>NIST CSF 2.0</t>
        </is>
      </c>
      <c r="E225" s="169" t="n"/>
      <c r="F225" s="169" t="n"/>
      <c r="G225" s="169" t="n"/>
      <c r="H225" s="169" t="n">
        <v>10000</v>
      </c>
      <c r="I225" s="169" t="n"/>
      <c r="J225" s="169" t="n">
        <v>0.5</v>
      </c>
      <c r="K225" s="169" t="n">
        <v>0.06</v>
      </c>
      <c r="L225" s="169" t="n">
        <v>0.06</v>
      </c>
      <c r="M225" s="167" t="n"/>
      <c r="N225" s="169">
        <f>A225*((SUM(F225:I225))+(J225*1950*80))</f>
        <v/>
      </c>
      <c r="O225" s="169">
        <f>A225*J225</f>
        <v/>
      </c>
      <c r="P225" s="169">
        <f>A225*K225</f>
        <v/>
      </c>
      <c r="Q225" s="169">
        <f>A225*L225</f>
        <v/>
      </c>
      <c r="R225" s="169">
        <f>1-P225</f>
        <v/>
      </c>
      <c r="S225" s="169">
        <f>1-Q225</f>
        <v/>
      </c>
      <c r="T225" s="169" t="n"/>
    </row>
    <row r="226" ht="12.75" customHeight="1">
      <c r="A226" s="169" t="n"/>
      <c r="B226" s="167" t="n"/>
      <c r="C226" s="180" t="inlineStr">
        <is>
          <t>RS.AN-08: An incident's magnitude is estimated and validated</t>
        </is>
      </c>
      <c r="D226" s="181" t="inlineStr">
        <is>
          <t>NIST CSF 2.0</t>
        </is>
      </c>
      <c r="E226" s="169" t="n"/>
      <c r="F226" s="169" t="n"/>
      <c r="G226" s="169" t="n"/>
      <c r="H226" s="169" t="n">
        <v>10000</v>
      </c>
      <c r="I226" s="169" t="n"/>
      <c r="J226" s="169" t="n">
        <v>0.5</v>
      </c>
      <c r="K226" s="169" t="n">
        <v>0.06</v>
      </c>
      <c r="L226" s="169" t="n">
        <v>0.06</v>
      </c>
      <c r="M226" s="167" t="n"/>
      <c r="N226" s="169">
        <f>A226*((SUM(F226:I226))+(J226*1950*80))</f>
        <v/>
      </c>
      <c r="O226" s="169">
        <f>A226*J226</f>
        <v/>
      </c>
      <c r="P226" s="169">
        <f>A226*K226</f>
        <v/>
      </c>
      <c r="Q226" s="169">
        <f>A226*L226</f>
        <v/>
      </c>
      <c r="R226" s="169">
        <f>1-P226</f>
        <v/>
      </c>
      <c r="S226" s="169">
        <f>1-Q226</f>
        <v/>
      </c>
      <c r="T226" s="169" t="n"/>
    </row>
    <row r="227" ht="15" customHeight="1">
      <c r="A227" s="169" t="n"/>
      <c r="B227" s="167" t="n"/>
      <c r="C227" s="179" t="inlineStr">
        <is>
          <t>RS.CO Incident Response Reporting and Communication</t>
        </is>
      </c>
      <c r="D227" s="11" t="n"/>
      <c r="E227" s="11" t="n"/>
      <c r="F227" s="11" t="n"/>
      <c r="G227" s="11" t="n"/>
      <c r="H227" s="11" t="n"/>
      <c r="I227" s="11" t="n"/>
      <c r="J227" s="12" t="n"/>
      <c r="K227" s="11" t="n"/>
      <c r="L227" s="13" t="n"/>
      <c r="M227" s="167" t="n"/>
      <c r="N227" s="169" t="n"/>
      <c r="O227" s="169" t="n"/>
      <c r="P227" s="169" t="n"/>
      <c r="Q227" s="169" t="n"/>
      <c r="R227" s="167" t="n"/>
      <c r="S227" s="169" t="n"/>
      <c r="T227" s="169" t="n"/>
    </row>
    <row r="228" ht="12.75" customHeight="1">
      <c r="A228" s="169" t="n"/>
      <c r="B228" s="167" t="n"/>
      <c r="C228" s="180" t="inlineStr">
        <is>
          <t>RS.CO-02: Internal and external stakeholders are notified of incidents</t>
        </is>
      </c>
      <c r="D228" s="181" t="inlineStr">
        <is>
          <t>NIST CSF 2.0</t>
        </is>
      </c>
      <c r="E228" s="169" t="n"/>
      <c r="F228" s="169" t="n"/>
      <c r="G228" s="169" t="n"/>
      <c r="H228" s="169" t="n">
        <v>10000</v>
      </c>
      <c r="I228" s="169" t="n"/>
      <c r="J228" s="169" t="n">
        <v>0.5</v>
      </c>
      <c r="K228" s="169" t="n">
        <v>0.06</v>
      </c>
      <c r="L228" s="169" t="n">
        <v>0.06</v>
      </c>
      <c r="M228" s="167" t="n"/>
      <c r="N228" s="169">
        <f>A228*((SUM(F228:I228))+(J228*1950*80))</f>
        <v/>
      </c>
      <c r="O228" s="169">
        <f>A228*J228</f>
        <v/>
      </c>
      <c r="P228" s="169">
        <f>A228*K228</f>
        <v/>
      </c>
      <c r="Q228" s="169">
        <f>A228*L228</f>
        <v/>
      </c>
      <c r="R228" s="169">
        <f>1-P228</f>
        <v/>
      </c>
      <c r="S228" s="169">
        <f>1-Q228</f>
        <v/>
      </c>
      <c r="T228" s="169" t="n"/>
    </row>
    <row r="229" ht="12.75" customHeight="1">
      <c r="A229" s="169" t="n"/>
      <c r="B229" s="167" t="n"/>
      <c r="C229" s="180" t="inlineStr">
        <is>
          <t>RS.CO-03: Information is shared with designated internal and external stakeholders</t>
        </is>
      </c>
      <c r="D229" s="181" t="inlineStr">
        <is>
          <t>NIST CSF 2.0</t>
        </is>
      </c>
      <c r="E229" s="169" t="n"/>
      <c r="F229" s="169" t="n"/>
      <c r="G229" s="169" t="n"/>
      <c r="H229" s="169" t="n">
        <v>10000</v>
      </c>
      <c r="I229" s="169" t="n"/>
      <c r="J229" s="169" t="n">
        <v>0.5</v>
      </c>
      <c r="K229" s="169" t="n">
        <v>0.06</v>
      </c>
      <c r="L229" s="169" t="n">
        <v>0.06</v>
      </c>
      <c r="M229" s="167" t="n"/>
      <c r="N229" s="169">
        <f>A229*((SUM(F229:I229))+(J229*1950*80))</f>
        <v/>
      </c>
      <c r="O229" s="169">
        <f>A229*J229</f>
        <v/>
      </c>
      <c r="P229" s="169">
        <f>A229*K229</f>
        <v/>
      </c>
      <c r="Q229" s="169">
        <f>A229*L229</f>
        <v/>
      </c>
      <c r="R229" s="169">
        <f>1-P229</f>
        <v/>
      </c>
      <c r="S229" s="169">
        <f>1-Q229</f>
        <v/>
      </c>
      <c r="T229" s="169" t="n"/>
    </row>
    <row r="230" ht="15" customHeight="1" thickBot="1">
      <c r="A230" s="169" t="n"/>
      <c r="B230" s="167" t="n"/>
      <c r="C230" s="179" t="inlineStr">
        <is>
          <t>RS.MI Incident Mitigation</t>
        </is>
      </c>
      <c r="D230" s="11" t="n"/>
      <c r="E230" s="11" t="n"/>
      <c r="F230" s="11" t="n"/>
      <c r="G230" s="11" t="n"/>
      <c r="H230" s="11" t="n"/>
      <c r="I230" s="11" t="n"/>
      <c r="J230" s="12" t="n"/>
      <c r="K230" s="11" t="n"/>
      <c r="L230" s="13" t="n"/>
      <c r="M230" s="167" t="n"/>
      <c r="N230" s="169" t="n"/>
      <c r="O230" s="169" t="n"/>
      <c r="P230" s="169" t="n"/>
      <c r="Q230" s="169" t="n"/>
      <c r="R230" s="167" t="n"/>
      <c r="S230" s="169" t="n"/>
      <c r="T230" s="169" t="n"/>
    </row>
    <row r="231" ht="12.75" customHeight="1" thickBot="1">
      <c r="A231" s="169" t="n"/>
      <c r="B231" s="167" t="n"/>
      <c r="C231" s="180" t="inlineStr">
        <is>
          <t>RS.MI-01: Incidents are contained</t>
        </is>
      </c>
      <c r="D231" s="181" t="inlineStr">
        <is>
          <t>NIST CSF 2.0</t>
        </is>
      </c>
      <c r="E231" s="169" t="n"/>
      <c r="F231" s="169" t="n"/>
      <c r="G231" s="169" t="n"/>
      <c r="H231" s="169" t="n">
        <v>10000</v>
      </c>
      <c r="I231" s="169" t="n"/>
      <c r="J231" s="169" t="n">
        <v>0.5</v>
      </c>
      <c r="K231" s="169" t="n">
        <v>0.06</v>
      </c>
      <c r="L231" s="169" t="n">
        <v>0.06</v>
      </c>
      <c r="M231" s="167" t="n"/>
      <c r="N231" s="169">
        <f>A231*((SUM(F231:I231))+(J231*1950*80))</f>
        <v/>
      </c>
      <c r="O231" s="169">
        <f>A231*J231</f>
        <v/>
      </c>
      <c r="P231" s="169">
        <f>A231*K231</f>
        <v/>
      </c>
      <c r="Q231" s="169">
        <f>A231*L231</f>
        <v/>
      </c>
      <c r="R231" s="169">
        <f>1-P231</f>
        <v/>
      </c>
      <c r="S231" s="169">
        <f>1-Q231</f>
        <v/>
      </c>
      <c r="T231" s="169" t="n"/>
    </row>
    <row r="232" ht="12.75" customHeight="1">
      <c r="A232" s="169" t="n"/>
      <c r="B232" s="167" t="n"/>
      <c r="C232" s="180" t="inlineStr">
        <is>
          <t>RS.MI-02: Incidents are eradicated</t>
        </is>
      </c>
      <c r="D232" s="181" t="inlineStr">
        <is>
          <t>NIST CSF 2.0</t>
        </is>
      </c>
      <c r="E232" s="169" t="n"/>
      <c r="F232" s="169" t="n"/>
      <c r="G232" s="169" t="n"/>
      <c r="H232" s="169" t="n">
        <v>10000</v>
      </c>
      <c r="I232" s="169" t="n"/>
      <c r="J232" s="169" t="n">
        <v>0.5</v>
      </c>
      <c r="K232" s="169" t="n">
        <v>0.06</v>
      </c>
      <c r="L232" s="169" t="n">
        <v>0.06</v>
      </c>
      <c r="M232" s="167" t="n"/>
      <c r="N232" s="169">
        <f>A232*((SUM(F232:I232))+(J232*1950*80))</f>
        <v/>
      </c>
      <c r="O232" s="169">
        <f>A232*J232</f>
        <v/>
      </c>
      <c r="P232" s="169">
        <f>A232*K232</f>
        <v/>
      </c>
      <c r="Q232" s="169">
        <f>A232*L232</f>
        <v/>
      </c>
      <c r="R232" s="169">
        <f>1-P232</f>
        <v/>
      </c>
      <c r="S232" s="169">
        <f>1-Q232</f>
        <v/>
      </c>
      <c r="T232" s="169" t="n"/>
    </row>
    <row r="233" ht="15" customHeight="1" thickBot="1">
      <c r="A233" s="167" t="n"/>
      <c r="B233" s="167" t="n"/>
      <c r="C233" s="168" t="inlineStr">
        <is>
          <t>RECOVER (RC)</t>
        </is>
      </c>
      <c r="D233" s="22" t="n"/>
      <c r="E233" s="22" t="n"/>
      <c r="F233" s="22" t="n"/>
      <c r="G233" s="22" t="n"/>
      <c r="H233" s="22" t="n"/>
      <c r="I233" s="22" t="n"/>
      <c r="J233" s="27" t="n"/>
      <c r="K233" s="22" t="n"/>
      <c r="L233" s="28" t="n"/>
      <c r="M233" s="167" t="n"/>
      <c r="N233" s="167" t="n"/>
      <c r="O233" s="167" t="n"/>
      <c r="P233" s="167" t="n"/>
      <c r="Q233" s="167" t="n"/>
      <c r="R233" s="167" t="n"/>
      <c r="S233" s="169" t="n"/>
      <c r="T233" s="169" t="n"/>
    </row>
    <row r="234" ht="15" customHeight="1" thickBot="1">
      <c r="A234" s="169" t="n"/>
      <c r="B234" s="167" t="n"/>
      <c r="C234" s="179" t="inlineStr">
        <is>
          <t>RC.RP Incident Recovery Plan Execution</t>
        </is>
      </c>
      <c r="D234" s="11" t="n"/>
      <c r="E234" s="11" t="n"/>
      <c r="F234" s="11" t="n"/>
      <c r="G234" s="11" t="n"/>
      <c r="H234" s="11" t="n"/>
      <c r="I234" s="11" t="n"/>
      <c r="J234" s="12" t="n"/>
      <c r="K234" s="11" t="n"/>
      <c r="L234" s="13" t="n"/>
      <c r="M234" s="167" t="n"/>
      <c r="N234" s="169" t="n"/>
      <c r="O234" s="169" t="n"/>
      <c r="P234" s="169" t="n"/>
      <c r="Q234" s="169" t="n"/>
      <c r="R234" s="167" t="n"/>
      <c r="S234" s="169" t="n"/>
      <c r="T234" s="169" t="n"/>
    </row>
    <row r="235" ht="12.75" customHeight="1">
      <c r="A235" s="169" t="n"/>
      <c r="B235" s="167" t="n"/>
      <c r="C235" s="180" t="inlineStr">
        <is>
          <t>RC.RP-01: The recovery portion of the incident response plan is executed once initiated from the incident response process</t>
        </is>
      </c>
      <c r="D235" s="181" t="inlineStr">
        <is>
          <t>NIST CSF 2.0</t>
        </is>
      </c>
      <c r="E235" s="169" t="n"/>
      <c r="F235" s="169" t="n"/>
      <c r="G235" s="169" t="n"/>
      <c r="H235" s="169" t="n">
        <v>10000</v>
      </c>
      <c r="I235" s="169" t="n"/>
      <c r="J235" s="169" t="n">
        <v>0.5</v>
      </c>
      <c r="K235" s="169" t="n">
        <v>0.06</v>
      </c>
      <c r="L235" s="169" t="n">
        <v>0.06</v>
      </c>
      <c r="M235" s="167" t="n"/>
      <c r="N235" s="169">
        <f>A235*((SUM(F235:I235))+(J235*1950*80))</f>
        <v/>
      </c>
      <c r="O235" s="169">
        <f>A235*J235</f>
        <v/>
      </c>
      <c r="P235" s="169">
        <f>A235*K235</f>
        <v/>
      </c>
      <c r="Q235" s="169">
        <f>A235*L235</f>
        <v/>
      </c>
      <c r="R235" s="169">
        <f>1-P235</f>
        <v/>
      </c>
      <c r="S235" s="169">
        <f>1-Q235</f>
        <v/>
      </c>
      <c r="T235" s="169" t="n"/>
    </row>
    <row r="236" ht="12.75" customHeight="1">
      <c r="A236" s="169" t="n"/>
      <c r="B236" s="167" t="n"/>
      <c r="C236" s="180" t="inlineStr">
        <is>
          <t>RC.RP-02: Recovery actions are selected, scoped, prioritized, and performed</t>
        </is>
      </c>
      <c r="D236" s="181" t="inlineStr">
        <is>
          <t>NIST CSF 2.0</t>
        </is>
      </c>
      <c r="E236" s="169" t="n"/>
      <c r="F236" s="169" t="n"/>
      <c r="G236" s="169" t="n"/>
      <c r="H236" s="169" t="n">
        <v>10000</v>
      </c>
      <c r="I236" s="169" t="n"/>
      <c r="J236" s="169" t="n">
        <v>0.5</v>
      </c>
      <c r="K236" s="169" t="n">
        <v>0.06</v>
      </c>
      <c r="L236" s="169" t="n">
        <v>0.06</v>
      </c>
      <c r="M236" s="167" t="n"/>
      <c r="N236" s="169">
        <f>A236*((SUM(F236:I236))+(J236*1950*80))</f>
        <v/>
      </c>
      <c r="O236" s="169">
        <f>A236*J236</f>
        <v/>
      </c>
      <c r="P236" s="169">
        <f>A236*K236</f>
        <v/>
      </c>
      <c r="Q236" s="169">
        <f>A236*L236</f>
        <v/>
      </c>
      <c r="R236" s="169">
        <f>1-P236</f>
        <v/>
      </c>
      <c r="S236" s="169">
        <f>1-Q236</f>
        <v/>
      </c>
      <c r="T236" s="169" t="n"/>
    </row>
    <row r="237" ht="12.75" customHeight="1">
      <c r="A237" s="169" t="n"/>
      <c r="B237" s="167" t="n"/>
      <c r="C237" s="180" t="inlineStr">
        <is>
          <t>RC.RP-03: The integrity of backups and other restoration assets is verified before using them for restoration</t>
        </is>
      </c>
      <c r="D237" s="181" t="inlineStr">
        <is>
          <t>NIST CSF 2.0</t>
        </is>
      </c>
      <c r="E237" s="169" t="n"/>
      <c r="F237" s="169" t="n"/>
      <c r="G237" s="169" t="n"/>
      <c r="H237" s="169" t="n">
        <v>10000</v>
      </c>
      <c r="I237" s="169" t="n"/>
      <c r="J237" s="169" t="n">
        <v>0.5</v>
      </c>
      <c r="K237" s="169" t="n">
        <v>0.06</v>
      </c>
      <c r="L237" s="169" t="n">
        <v>0.06</v>
      </c>
      <c r="M237" s="167" t="n"/>
      <c r="N237" s="169">
        <f>A237*((SUM(F237:I237))+(J237*1950*80))</f>
        <v/>
      </c>
      <c r="O237" s="169">
        <f>A237*J237</f>
        <v/>
      </c>
      <c r="P237" s="169">
        <f>A237*K237</f>
        <v/>
      </c>
      <c r="Q237" s="169">
        <f>A237*L237</f>
        <v/>
      </c>
      <c r="R237" s="169">
        <f>1-P237</f>
        <v/>
      </c>
      <c r="S237" s="169">
        <f>1-Q237</f>
        <v/>
      </c>
      <c r="T237" s="169" t="n"/>
    </row>
    <row r="238" ht="12.75" customHeight="1">
      <c r="A238" s="169" t="n"/>
      <c r="B238" s="167" t="n"/>
      <c r="C238" s="180" t="inlineStr">
        <is>
          <t>RC.RP-04: Critical mission functions and cybersecurity risk management are considered to establish post-incident operational norms</t>
        </is>
      </c>
      <c r="D238" s="181" t="inlineStr">
        <is>
          <t>NIST CSF 2.0</t>
        </is>
      </c>
      <c r="E238" s="169" t="n"/>
      <c r="F238" s="169" t="n"/>
      <c r="G238" s="169" t="n"/>
      <c r="H238" s="169" t="n">
        <v>10000</v>
      </c>
      <c r="I238" s="169" t="n"/>
      <c r="J238" s="169" t="n">
        <v>0.5</v>
      </c>
      <c r="K238" s="169" t="n">
        <v>0.06</v>
      </c>
      <c r="L238" s="169" t="n">
        <v>0.06</v>
      </c>
      <c r="M238" s="167" t="n"/>
      <c r="N238" s="169">
        <f>A238*((SUM(F238:I238))+(J238*1950*80))</f>
        <v/>
      </c>
      <c r="O238" s="169">
        <f>A238*J238</f>
        <v/>
      </c>
      <c r="P238" s="169">
        <f>A238*K238</f>
        <v/>
      </c>
      <c r="Q238" s="169">
        <f>A238*L238</f>
        <v/>
      </c>
      <c r="R238" s="169">
        <f>1-P238</f>
        <v/>
      </c>
      <c r="S238" s="169">
        <f>1-Q238</f>
        <v/>
      </c>
      <c r="T238" s="169" t="n"/>
    </row>
    <row r="239" ht="12.75" customHeight="1" thickBot="1">
      <c r="A239" s="169" t="n"/>
      <c r="B239" s="167" t="n"/>
      <c r="C239" s="180" t="inlineStr">
        <is>
          <t>RC.RP-05: The integrity of restored assets is verified, systems and services are restored, and normal operating status is confirmed</t>
        </is>
      </c>
      <c r="D239" s="181" t="inlineStr">
        <is>
          <t>NIST CSF 2.0</t>
        </is>
      </c>
      <c r="E239" s="169" t="n"/>
      <c r="F239" s="169" t="n"/>
      <c r="G239" s="169" t="n"/>
      <c r="H239" s="169" t="n">
        <v>10000</v>
      </c>
      <c r="I239" s="169" t="n"/>
      <c r="J239" s="169" t="n">
        <v>0.5</v>
      </c>
      <c r="K239" s="169" t="n">
        <v>0.06</v>
      </c>
      <c r="L239" s="169" t="n">
        <v>0.06</v>
      </c>
      <c r="M239" s="167" t="n"/>
      <c r="N239" s="169">
        <f>A239*((SUM(F239:I239))+(J239*1950*80))</f>
        <v/>
      </c>
      <c r="O239" s="169">
        <f>A239*J239</f>
        <v/>
      </c>
      <c r="P239" s="169">
        <f>A239*K239</f>
        <v/>
      </c>
      <c r="Q239" s="169">
        <f>A239*L239</f>
        <v/>
      </c>
      <c r="R239" s="169">
        <f>1-P239</f>
        <v/>
      </c>
      <c r="S239" s="169">
        <f>1-Q239</f>
        <v/>
      </c>
      <c r="T239" s="169" t="n"/>
    </row>
    <row r="240" ht="12.75" customHeight="1" thickBot="1">
      <c r="A240" s="169" t="n"/>
      <c r="B240" s="167" t="n"/>
      <c r="C240" s="180" t="inlineStr">
        <is>
          <t>RC.RP-06: The end of incident recovery is declared based on criteria, and incident-related documentation is completed</t>
        </is>
      </c>
      <c r="D240" s="181" t="inlineStr">
        <is>
          <t>NIST CSF 2.0</t>
        </is>
      </c>
      <c r="E240" s="169" t="n"/>
      <c r="F240" s="169" t="n"/>
      <c r="G240" s="169" t="n"/>
      <c r="H240" s="169" t="n">
        <v>10000</v>
      </c>
      <c r="I240" s="169" t="n"/>
      <c r="J240" s="169" t="n">
        <v>0.5</v>
      </c>
      <c r="K240" s="169" t="n">
        <v>0.06</v>
      </c>
      <c r="L240" s="169" t="n">
        <v>0.06</v>
      </c>
      <c r="M240" s="167" t="n"/>
      <c r="N240" s="169">
        <f>A240*((SUM(F240:I240))+(J240*1950*80))</f>
        <v/>
      </c>
      <c r="O240" s="169">
        <f>A240*J240</f>
        <v/>
      </c>
      <c r="P240" s="169">
        <f>A240*K240</f>
        <v/>
      </c>
      <c r="Q240" s="169">
        <f>A240*L240</f>
        <v/>
      </c>
      <c r="R240" s="169">
        <f>1-P240</f>
        <v/>
      </c>
      <c r="S240" s="169">
        <f>1-Q240</f>
        <v/>
      </c>
      <c r="T240" s="169" t="n"/>
    </row>
    <row r="241" ht="15" customHeight="1">
      <c r="A241" s="169" t="n"/>
      <c r="B241" s="167" t="n"/>
      <c r="C241" s="179" t="inlineStr">
        <is>
          <t>RC.CO Incident Recovery Communication</t>
        </is>
      </c>
      <c r="D241" s="11" t="n"/>
      <c r="E241" s="11" t="n"/>
      <c r="F241" s="11" t="n"/>
      <c r="G241" s="11" t="n"/>
      <c r="H241" s="11" t="n"/>
      <c r="I241" s="11" t="n"/>
      <c r="J241" s="12" t="n"/>
      <c r="K241" s="11" t="n"/>
      <c r="L241" s="13" t="n"/>
      <c r="M241" s="167" t="n"/>
      <c r="N241" s="169" t="n"/>
      <c r="O241" s="169" t="n"/>
      <c r="P241" s="169" t="n"/>
      <c r="Q241" s="169" t="n"/>
      <c r="R241" s="167" t="n"/>
      <c r="S241" s="169" t="n"/>
      <c r="T241" s="169" t="n"/>
    </row>
    <row r="242" ht="12.75" customHeight="1">
      <c r="A242" s="169" t="n"/>
      <c r="B242" s="167" t="n"/>
      <c r="C242" s="180" t="inlineStr">
        <is>
          <t>RC.CO-03: Recovery activities and progress in restoring operational capabilities are communicated to designated internal and external stakeholders</t>
        </is>
      </c>
      <c r="D242" s="181" t="inlineStr">
        <is>
          <t>NIST CSF 2.0</t>
        </is>
      </c>
      <c r="E242" s="169" t="n"/>
      <c r="F242" s="169" t="n"/>
      <c r="G242" s="169" t="n"/>
      <c r="H242" s="169" t="n">
        <v>10000</v>
      </c>
      <c r="I242" s="169" t="n"/>
      <c r="J242" s="169" t="n">
        <v>0.5</v>
      </c>
      <c r="K242" s="169" t="n">
        <v>0.06</v>
      </c>
      <c r="L242" s="169" t="n">
        <v>0.06</v>
      </c>
      <c r="M242" s="167" t="n"/>
      <c r="N242" s="169">
        <f>A242*((SUM(F242:I242))+(J242*1950*80))</f>
        <v/>
      </c>
      <c r="O242" s="169">
        <f>A242*J242</f>
        <v/>
      </c>
      <c r="P242" s="169">
        <f>A242*K242</f>
        <v/>
      </c>
      <c r="Q242" s="169">
        <f>A242*L242</f>
        <v/>
      </c>
      <c r="R242" s="169">
        <f>1-P242</f>
        <v/>
      </c>
      <c r="S242" s="169">
        <f>1-Q242</f>
        <v/>
      </c>
      <c r="T242" s="169" t="n"/>
    </row>
    <row r="243" ht="12.75" customHeight="1">
      <c r="A243" s="169" t="n"/>
      <c r="B243" s="167" t="n"/>
      <c r="C243" s="180" t="inlineStr">
        <is>
          <t>RC.CO-04: Public updates on incident recovery are shared using approved methods and messaging</t>
        </is>
      </c>
      <c r="D243" s="181" t="inlineStr">
        <is>
          <t>NIST CSF 2.0</t>
        </is>
      </c>
      <c r="E243" s="169" t="n"/>
      <c r="F243" s="169" t="n"/>
      <c r="G243" s="169" t="n"/>
      <c r="H243" s="169" t="n">
        <v>10000</v>
      </c>
      <c r="I243" s="169" t="n"/>
      <c r="J243" s="169" t="n">
        <v>0.5</v>
      </c>
      <c r="K243" s="169" t="n">
        <v>0.06</v>
      </c>
      <c r="L243" s="169" t="n">
        <v>0.06</v>
      </c>
      <c r="M243" s="167" t="n"/>
      <c r="N243" s="169">
        <f>A243*((SUM(F243:I243))+(J243*1950*80))</f>
        <v/>
      </c>
      <c r="O243" s="169">
        <f>A243*J243</f>
        <v/>
      </c>
      <c r="P243" s="169">
        <f>A243*K243</f>
        <v/>
      </c>
      <c r="Q243" s="169">
        <f>A243*L243</f>
        <v/>
      </c>
      <c r="R243" s="169">
        <f>1-P243</f>
        <v/>
      </c>
      <c r="S243" s="169">
        <f>1-Q243</f>
        <v/>
      </c>
      <c r="T243" s="169" t="n"/>
    </row>
    <row r="244" ht="15" customHeight="1">
      <c r="A244" s="167" t="n"/>
      <c r="B244" s="167" t="n"/>
      <c r="C244" s="29" t="inlineStr">
        <is>
          <t>Subtotal NIST CSF 2.0 / Sous-total</t>
        </is>
      </c>
      <c r="D244" s="22" t="n"/>
      <c r="E244" s="22" t="n"/>
      <c r="F244" s="22" t="n"/>
      <c r="G244" s="22" t="n"/>
      <c r="H244" s="22" t="n"/>
      <c r="I244" s="22" t="n"/>
      <c r="J244" s="27" t="n"/>
      <c r="K244" s="22" t="n"/>
      <c r="L244" s="28" t="n"/>
      <c r="M244" s="167" t="n"/>
      <c r="N244" s="28">
        <f>SUM(N110:N243)</f>
        <v/>
      </c>
      <c r="O244" s="28">
        <f>SUM(O110:O243)</f>
        <v/>
      </c>
      <c r="P244" s="28">
        <f>1-PRODUCT(R110:R243)</f>
        <v/>
      </c>
      <c r="Q244" s="28">
        <f>1-PRODUCT(S110:S243)</f>
        <v/>
      </c>
      <c r="R244" s="167" t="n"/>
      <c r="S244" s="169" t="n"/>
      <c r="T244" s="169" t="n"/>
    </row>
    <row r="245" ht="15" customHeight="1" thickBot="1">
      <c r="A245" s="167" t="n"/>
      <c r="B245" s="167" t="n"/>
      <c r="C245" s="168" t="inlineStr">
        <is>
          <t>CIS Controls v8.1 — control level (18) / niveau contrôle</t>
        </is>
      </c>
      <c r="D245" s="22" t="n"/>
      <c r="E245" s="22" t="n"/>
      <c r="F245" s="22" t="n"/>
      <c r="G245" s="22" t="n"/>
      <c r="H245" s="22" t="n"/>
      <c r="I245" s="22" t="n"/>
      <c r="J245" s="27" t="n"/>
      <c r="K245" s="22" t="n"/>
      <c r="L245" s="28" t="n"/>
      <c r="M245" s="167" t="n"/>
      <c r="N245" s="167" t="n"/>
      <c r="O245" s="167" t="n"/>
      <c r="P245" s="167" t="n"/>
      <c r="Q245" s="167" t="n"/>
      <c r="R245" s="167" t="n"/>
      <c r="S245" s="169" t="n"/>
      <c r="T245" s="169" t="n"/>
    </row>
    <row r="246" ht="12.75" customHeight="1" thickBot="1">
      <c r="A246" s="169" t="n"/>
      <c r="B246" s="167" t="n"/>
      <c r="C246" s="169" t="inlineStr">
        <is>
          <t>CIS 1 Inventory and Control of Enterprise Assets</t>
        </is>
      </c>
      <c r="D246" s="181" t="inlineStr">
        <is>
          <t>CIS Controls v8.1</t>
        </is>
      </c>
      <c r="E246" s="169" t="n"/>
      <c r="F246" s="169" t="n"/>
      <c r="G246" s="169" t="n"/>
      <c r="H246" s="169" t="n">
        <v>10000</v>
      </c>
      <c r="I246" s="169" t="n"/>
      <c r="J246" s="12" t="n">
        <v>0.5</v>
      </c>
      <c r="K246" s="11" t="n">
        <v>0.06</v>
      </c>
      <c r="L246" s="13" t="n">
        <v>0.06</v>
      </c>
      <c r="M246" s="167" t="n"/>
      <c r="N246" s="169">
        <f>A246*((SUM(F246:I246))+(J246*1950*80))</f>
        <v/>
      </c>
      <c r="O246" s="169">
        <f>A246*J246</f>
        <v/>
      </c>
      <c r="P246" s="169">
        <f>A246*K246</f>
        <v/>
      </c>
      <c r="Q246" s="169">
        <f>A246*L246</f>
        <v/>
      </c>
      <c r="R246" s="169">
        <f>1-P246</f>
        <v/>
      </c>
      <c r="S246" s="169">
        <f>1-Q246</f>
        <v/>
      </c>
      <c r="T246" s="169" t="n"/>
    </row>
    <row r="247" ht="12.75" customHeight="1">
      <c r="A247" s="169" t="n"/>
      <c r="B247" s="167" t="n"/>
      <c r="C247" s="169" t="inlineStr">
        <is>
          <t>CIS 2 Inventory and Control of Software Assets</t>
        </is>
      </c>
      <c r="D247" s="181" t="inlineStr">
        <is>
          <t>CIS Controls v8.1</t>
        </is>
      </c>
      <c r="E247" s="169" t="n"/>
      <c r="F247" s="169" t="n"/>
      <c r="G247" s="169" t="n"/>
      <c r="H247" s="169" t="n">
        <v>10000</v>
      </c>
      <c r="I247" s="169" t="n"/>
      <c r="J247" s="12" t="n">
        <v>0.5</v>
      </c>
      <c r="K247" s="11" t="n">
        <v>0.06</v>
      </c>
      <c r="L247" s="13" t="n">
        <v>0.06</v>
      </c>
      <c r="M247" s="167" t="n"/>
      <c r="N247" s="169">
        <f>A247*((SUM(F247:I247))+(J247*1950*80))</f>
        <v/>
      </c>
      <c r="O247" s="169">
        <f>A247*J247</f>
        <v/>
      </c>
      <c r="P247" s="169">
        <f>A247*K247</f>
        <v/>
      </c>
      <c r="Q247" s="169">
        <f>A247*L247</f>
        <v/>
      </c>
      <c r="R247" s="169">
        <f>1-P247</f>
        <v/>
      </c>
      <c r="S247" s="169">
        <f>1-Q247</f>
        <v/>
      </c>
      <c r="T247" s="169" t="n"/>
    </row>
    <row r="248" ht="12.75" customHeight="1">
      <c r="A248" s="169" t="n"/>
      <c r="B248" s="167" t="n"/>
      <c r="C248" s="169" t="inlineStr">
        <is>
          <t>CIS 3 Data Protection</t>
        </is>
      </c>
      <c r="D248" s="181" t="inlineStr">
        <is>
          <t>CIS Controls v8.1</t>
        </is>
      </c>
      <c r="E248" s="169" t="n"/>
      <c r="F248" s="169" t="n"/>
      <c r="G248" s="169" t="n"/>
      <c r="H248" s="169" t="n">
        <v>10000</v>
      </c>
      <c r="I248" s="169" t="n"/>
      <c r="J248" s="12" t="n">
        <v>0.5</v>
      </c>
      <c r="K248" s="11" t="n">
        <v>0.06</v>
      </c>
      <c r="L248" s="13" t="n">
        <v>0.06</v>
      </c>
      <c r="M248" s="167" t="n"/>
      <c r="N248" s="169">
        <f>A248*((SUM(F248:I248))+(J248*1950*80))</f>
        <v/>
      </c>
      <c r="O248" s="169">
        <f>A248*J248</f>
        <v/>
      </c>
      <c r="P248" s="169">
        <f>A248*K248</f>
        <v/>
      </c>
      <c r="Q248" s="169">
        <f>A248*L248</f>
        <v/>
      </c>
      <c r="R248" s="169">
        <f>1-P248</f>
        <v/>
      </c>
      <c r="S248" s="169">
        <f>1-Q248</f>
        <v/>
      </c>
      <c r="T248" s="169" t="n"/>
    </row>
    <row r="249" ht="12.75" customHeight="1">
      <c r="A249" s="169" t="n"/>
      <c r="B249" s="167" t="n"/>
      <c r="C249" s="169" t="inlineStr">
        <is>
          <t>CIS 4 Secure Configuration of Enterprise Assets and Software</t>
        </is>
      </c>
      <c r="D249" s="181" t="inlineStr">
        <is>
          <t>CIS Controls v8.1</t>
        </is>
      </c>
      <c r="E249" s="169" t="n"/>
      <c r="F249" s="169" t="n"/>
      <c r="G249" s="169" t="n"/>
      <c r="H249" s="169" t="n">
        <v>10000</v>
      </c>
      <c r="I249" s="169" t="n"/>
      <c r="J249" s="12" t="n">
        <v>0.5</v>
      </c>
      <c r="K249" s="11" t="n">
        <v>0.06</v>
      </c>
      <c r="L249" s="13" t="n">
        <v>0.06</v>
      </c>
      <c r="M249" s="167" t="n"/>
      <c r="N249" s="169">
        <f>A249*((SUM(F249:I249))+(J249*1950*80))</f>
        <v/>
      </c>
      <c r="O249" s="169">
        <f>A249*J249</f>
        <v/>
      </c>
      <c r="P249" s="169">
        <f>A249*K249</f>
        <v/>
      </c>
      <c r="Q249" s="169">
        <f>A249*L249</f>
        <v/>
      </c>
      <c r="R249" s="169">
        <f>1-P249</f>
        <v/>
      </c>
      <c r="S249" s="169">
        <f>1-Q249</f>
        <v/>
      </c>
      <c r="T249" s="169" t="n"/>
    </row>
    <row r="250" ht="12.75" customHeight="1">
      <c r="A250" s="169" t="n"/>
      <c r="B250" s="167" t="n"/>
      <c r="C250" s="169" t="inlineStr">
        <is>
          <t>CIS 5 Account Management</t>
        </is>
      </c>
      <c r="D250" s="181" t="inlineStr">
        <is>
          <t>CIS Controls v8.1</t>
        </is>
      </c>
      <c r="E250" s="169" t="n"/>
      <c r="F250" s="169" t="n"/>
      <c r="G250" s="169" t="n"/>
      <c r="H250" s="169" t="n">
        <v>10000</v>
      </c>
      <c r="I250" s="169" t="n"/>
      <c r="J250" s="12" t="n">
        <v>0.5</v>
      </c>
      <c r="K250" s="11" t="n">
        <v>0.06</v>
      </c>
      <c r="L250" s="13" t="n">
        <v>0.06</v>
      </c>
      <c r="M250" s="167" t="n"/>
      <c r="N250" s="169">
        <f>A250*((SUM(F250:I250))+(J250*1950*80))</f>
        <v/>
      </c>
      <c r="O250" s="169">
        <f>A250*J250</f>
        <v/>
      </c>
      <c r="P250" s="169">
        <f>A250*K250</f>
        <v/>
      </c>
      <c r="Q250" s="169">
        <f>A250*L250</f>
        <v/>
      </c>
      <c r="R250" s="169">
        <f>1-P250</f>
        <v/>
      </c>
      <c r="S250" s="169">
        <f>1-Q250</f>
        <v/>
      </c>
      <c r="T250" s="169" t="n"/>
    </row>
    <row r="251" ht="12.75" customHeight="1">
      <c r="A251" s="169" t="n"/>
      <c r="B251" s="167" t="n"/>
      <c r="C251" s="169" t="inlineStr">
        <is>
          <t>CIS 6 Access Control Management</t>
        </is>
      </c>
      <c r="D251" s="181" t="inlineStr">
        <is>
          <t>CIS Controls v8.1</t>
        </is>
      </c>
      <c r="E251" s="169" t="n"/>
      <c r="F251" s="169" t="n"/>
      <c r="G251" s="169" t="n"/>
      <c r="H251" s="169" t="n">
        <v>10000</v>
      </c>
      <c r="I251" s="169" t="n"/>
      <c r="J251" s="12" t="n">
        <v>0.5</v>
      </c>
      <c r="K251" s="11" t="n">
        <v>0.06</v>
      </c>
      <c r="L251" s="13" t="n">
        <v>0.06</v>
      </c>
      <c r="M251" s="167" t="n"/>
      <c r="N251" s="169">
        <f>A251*((SUM(F251:I251))+(J251*1950*80))</f>
        <v/>
      </c>
      <c r="O251" s="169">
        <f>A251*J251</f>
        <v/>
      </c>
      <c r="P251" s="169">
        <f>A251*K251</f>
        <v/>
      </c>
      <c r="Q251" s="169">
        <f>A251*L251</f>
        <v/>
      </c>
      <c r="R251" s="169">
        <f>1-P251</f>
        <v/>
      </c>
      <c r="S251" s="169">
        <f>1-Q251</f>
        <v/>
      </c>
      <c r="T251" s="169" t="n"/>
    </row>
    <row r="252" ht="12.75" customHeight="1">
      <c r="A252" s="169" t="n"/>
      <c r="B252" s="167" t="n"/>
      <c r="C252" s="169" t="inlineStr">
        <is>
          <t>CIS 7 Continuous Vulnerability Management</t>
        </is>
      </c>
      <c r="D252" s="181" t="inlineStr">
        <is>
          <t>CIS Controls v8.1</t>
        </is>
      </c>
      <c r="E252" s="169" t="n"/>
      <c r="F252" s="169" t="n"/>
      <c r="G252" s="169" t="n"/>
      <c r="H252" s="169" t="n">
        <v>10000</v>
      </c>
      <c r="I252" s="169" t="n"/>
      <c r="J252" s="12" t="n">
        <v>0.5</v>
      </c>
      <c r="K252" s="11" t="n">
        <v>0.06</v>
      </c>
      <c r="L252" s="13" t="n">
        <v>0.06</v>
      </c>
      <c r="M252" s="167" t="n"/>
      <c r="N252" s="169">
        <f>A252*((SUM(F252:I252))+(J252*1950*80))</f>
        <v/>
      </c>
      <c r="O252" s="169">
        <f>A252*J252</f>
        <v/>
      </c>
      <c r="P252" s="169">
        <f>A252*K252</f>
        <v/>
      </c>
      <c r="Q252" s="169">
        <f>A252*L252</f>
        <v/>
      </c>
      <c r="R252" s="169">
        <f>1-P252</f>
        <v/>
      </c>
      <c r="S252" s="169">
        <f>1-Q252</f>
        <v/>
      </c>
      <c r="T252" s="169" t="n"/>
    </row>
    <row r="253" ht="12.75" customHeight="1">
      <c r="A253" s="169" t="n"/>
      <c r="B253" s="167" t="n"/>
      <c r="C253" s="169" t="inlineStr">
        <is>
          <t>CIS 8 Audit Log Management</t>
        </is>
      </c>
      <c r="D253" s="181" t="inlineStr">
        <is>
          <t>CIS Controls v8.1</t>
        </is>
      </c>
      <c r="E253" s="169" t="n"/>
      <c r="F253" s="169" t="n"/>
      <c r="G253" s="169" t="n"/>
      <c r="H253" s="169" t="n">
        <v>10000</v>
      </c>
      <c r="I253" s="169" t="n"/>
      <c r="J253" s="12" t="n">
        <v>0.5</v>
      </c>
      <c r="K253" s="11" t="n">
        <v>0.06</v>
      </c>
      <c r="L253" s="13" t="n">
        <v>0.06</v>
      </c>
      <c r="M253" s="167" t="n"/>
      <c r="N253" s="169">
        <f>A253*((SUM(F253:I253))+(J253*1950*80))</f>
        <v/>
      </c>
      <c r="O253" s="169">
        <f>A253*J253</f>
        <v/>
      </c>
      <c r="P253" s="169">
        <f>A253*K253</f>
        <v/>
      </c>
      <c r="Q253" s="169">
        <f>A253*L253</f>
        <v/>
      </c>
      <c r="R253" s="169">
        <f>1-P253</f>
        <v/>
      </c>
      <c r="S253" s="169">
        <f>1-Q253</f>
        <v/>
      </c>
      <c r="T253" s="169" t="n"/>
    </row>
    <row r="254" ht="12.75" customHeight="1" thickBot="1">
      <c r="A254" s="169" t="n"/>
      <c r="B254" s="167" t="n"/>
      <c r="C254" s="169" t="inlineStr">
        <is>
          <t>CIS 9 Email and Web Browser Protections</t>
        </is>
      </c>
      <c r="D254" s="181" t="inlineStr">
        <is>
          <t>CIS Controls v8.1</t>
        </is>
      </c>
      <c r="E254" s="169" t="n"/>
      <c r="F254" s="169" t="n"/>
      <c r="G254" s="169" t="n"/>
      <c r="H254" s="169" t="n">
        <v>10000</v>
      </c>
      <c r="I254" s="169" t="n"/>
      <c r="J254" s="12" t="n">
        <v>0.5</v>
      </c>
      <c r="K254" s="11" t="n">
        <v>0.06</v>
      </c>
      <c r="L254" s="13" t="n">
        <v>0.06</v>
      </c>
      <c r="M254" s="167" t="n"/>
      <c r="N254" s="169">
        <f>A254*((SUM(F254:I254))+(J254*1950*80))</f>
        <v/>
      </c>
      <c r="O254" s="169">
        <f>A254*J254</f>
        <v/>
      </c>
      <c r="P254" s="169">
        <f>A254*K254</f>
        <v/>
      </c>
      <c r="Q254" s="169">
        <f>A254*L254</f>
        <v/>
      </c>
      <c r="R254" s="169">
        <f>1-P254</f>
        <v/>
      </c>
      <c r="S254" s="169">
        <f>1-Q254</f>
        <v/>
      </c>
      <c r="T254" s="169" t="n"/>
    </row>
    <row r="255" ht="12.75" customHeight="1" thickBot="1">
      <c r="A255" s="169" t="n"/>
      <c r="B255" s="167" t="n"/>
      <c r="C255" s="169" t="inlineStr">
        <is>
          <t>CIS 10 Malware Defenses</t>
        </is>
      </c>
      <c r="D255" s="181" t="inlineStr">
        <is>
          <t>CIS Controls v8.1</t>
        </is>
      </c>
      <c r="E255" s="169" t="n"/>
      <c r="F255" s="169" t="n"/>
      <c r="G255" s="169" t="n"/>
      <c r="H255" s="169" t="n">
        <v>10000</v>
      </c>
      <c r="I255" s="169" t="n"/>
      <c r="J255" s="12" t="n">
        <v>0.5</v>
      </c>
      <c r="K255" s="11" t="n">
        <v>0.06</v>
      </c>
      <c r="L255" s="13" t="n">
        <v>0.06</v>
      </c>
      <c r="M255" s="167" t="n"/>
      <c r="N255" s="169">
        <f>A255*((SUM(F255:I255))+(J255*1950*80))</f>
        <v/>
      </c>
      <c r="O255" s="169">
        <f>A255*J255</f>
        <v/>
      </c>
      <c r="P255" s="169">
        <f>A255*K255</f>
        <v/>
      </c>
      <c r="Q255" s="169">
        <f>A255*L255</f>
        <v/>
      </c>
      <c r="R255" s="169">
        <f>1-P255</f>
        <v/>
      </c>
      <c r="S255" s="169">
        <f>1-Q255</f>
        <v/>
      </c>
      <c r="T255" s="169" t="n"/>
    </row>
    <row r="256" ht="12.75" customHeight="1">
      <c r="A256" s="169" t="n"/>
      <c r="B256" s="167" t="n"/>
      <c r="C256" s="169" t="inlineStr">
        <is>
          <t>CIS 11 Data Recovery</t>
        </is>
      </c>
      <c r="D256" s="181" t="inlineStr">
        <is>
          <t>CIS Controls v8.1</t>
        </is>
      </c>
      <c r="E256" s="169" t="n"/>
      <c r="F256" s="169" t="n"/>
      <c r="G256" s="169" t="n"/>
      <c r="H256" s="169" t="n">
        <v>10000</v>
      </c>
      <c r="I256" s="169" t="n"/>
      <c r="J256" s="12" t="n">
        <v>0.5</v>
      </c>
      <c r="K256" s="11" t="n">
        <v>0.06</v>
      </c>
      <c r="L256" s="13" t="n">
        <v>0.06</v>
      </c>
      <c r="M256" s="167" t="n"/>
      <c r="N256" s="169">
        <f>A256*((SUM(F256:I256))+(J256*1950*80))</f>
        <v/>
      </c>
      <c r="O256" s="169">
        <f>A256*J256</f>
        <v/>
      </c>
      <c r="P256" s="169">
        <f>A256*K256</f>
        <v/>
      </c>
      <c r="Q256" s="169">
        <f>A256*L256</f>
        <v/>
      </c>
      <c r="R256" s="169">
        <f>1-P256</f>
        <v/>
      </c>
      <c r="S256" s="169">
        <f>1-Q256</f>
        <v/>
      </c>
      <c r="T256" s="169" t="n"/>
    </row>
    <row r="257" ht="12.75" customHeight="1">
      <c r="A257" s="169" t="n"/>
      <c r="B257" s="167" t="n"/>
      <c r="C257" s="169" t="inlineStr">
        <is>
          <t>CIS 12 Network Infrastructure Management</t>
        </is>
      </c>
      <c r="D257" s="181" t="inlineStr">
        <is>
          <t>CIS Controls v8.1</t>
        </is>
      </c>
      <c r="E257" s="169" t="n"/>
      <c r="F257" s="169" t="n"/>
      <c r="G257" s="169" t="n"/>
      <c r="H257" s="169" t="n">
        <v>10000</v>
      </c>
      <c r="I257" s="169" t="n"/>
      <c r="J257" s="12" t="n">
        <v>0.5</v>
      </c>
      <c r="K257" s="11" t="n">
        <v>0.06</v>
      </c>
      <c r="L257" s="13" t="n">
        <v>0.06</v>
      </c>
      <c r="M257" s="167" t="n"/>
      <c r="N257" s="169">
        <f>A257*((SUM(F257:I257))+(J257*1950*80))</f>
        <v/>
      </c>
      <c r="O257" s="169">
        <f>A257*J257</f>
        <v/>
      </c>
      <c r="P257" s="169">
        <f>A257*K257</f>
        <v/>
      </c>
      <c r="Q257" s="169">
        <f>A257*L257</f>
        <v/>
      </c>
      <c r="R257" s="169">
        <f>1-P257</f>
        <v/>
      </c>
      <c r="S257" s="169">
        <f>1-Q257</f>
        <v/>
      </c>
      <c r="T257" s="169" t="n"/>
    </row>
    <row r="258" ht="12.75" customHeight="1">
      <c r="A258" s="169" t="n"/>
      <c r="B258" s="167" t="n"/>
      <c r="C258" s="169" t="inlineStr">
        <is>
          <t>CIS 13 Network Monitoring and Defense</t>
        </is>
      </c>
      <c r="D258" s="181" t="inlineStr">
        <is>
          <t>CIS Controls v8.1</t>
        </is>
      </c>
      <c r="E258" s="169" t="n"/>
      <c r="F258" s="169" t="n"/>
      <c r="G258" s="169" t="n"/>
      <c r="H258" s="169" t="n">
        <v>10000</v>
      </c>
      <c r="I258" s="169" t="n"/>
      <c r="J258" s="12" t="n">
        <v>0.5</v>
      </c>
      <c r="K258" s="11" t="n">
        <v>0.06</v>
      </c>
      <c r="L258" s="13" t="n">
        <v>0.06</v>
      </c>
      <c r="M258" s="167" t="n"/>
      <c r="N258" s="169">
        <f>A258*((SUM(F258:I258))+(J258*1950*80))</f>
        <v/>
      </c>
      <c r="O258" s="169">
        <f>A258*J258</f>
        <v/>
      </c>
      <c r="P258" s="169">
        <f>A258*K258</f>
        <v/>
      </c>
      <c r="Q258" s="169">
        <f>A258*L258</f>
        <v/>
      </c>
      <c r="R258" s="169">
        <f>1-P258</f>
        <v/>
      </c>
      <c r="S258" s="169">
        <f>1-Q258</f>
        <v/>
      </c>
      <c r="T258" s="169" t="n"/>
    </row>
    <row r="259" ht="12.75" customHeight="1">
      <c r="A259" s="169" t="n"/>
      <c r="B259" s="167" t="n"/>
      <c r="C259" s="169" t="inlineStr">
        <is>
          <t>CIS 14 Security Awareness and Skills Training</t>
        </is>
      </c>
      <c r="D259" s="181" t="inlineStr">
        <is>
          <t>CIS Controls v8.1</t>
        </is>
      </c>
      <c r="E259" s="169" t="n"/>
      <c r="F259" s="169" t="n"/>
      <c r="G259" s="169" t="n"/>
      <c r="H259" s="169" t="n">
        <v>10000</v>
      </c>
      <c r="I259" s="169" t="n"/>
      <c r="J259" s="12" t="n">
        <v>0.5</v>
      </c>
      <c r="K259" s="11" t="n">
        <v>0.06</v>
      </c>
      <c r="L259" s="13" t="n">
        <v>0.06</v>
      </c>
      <c r="M259" s="167" t="n"/>
      <c r="N259" s="169">
        <f>A259*((SUM(F259:I259))+(J259*1950*80))</f>
        <v/>
      </c>
      <c r="O259" s="169">
        <f>A259*J259</f>
        <v/>
      </c>
      <c r="P259" s="169">
        <f>A259*K259</f>
        <v/>
      </c>
      <c r="Q259" s="169">
        <f>A259*L259</f>
        <v/>
      </c>
      <c r="R259" s="169">
        <f>1-P259</f>
        <v/>
      </c>
      <c r="S259" s="169">
        <f>1-Q259</f>
        <v/>
      </c>
      <c r="T259" s="169" t="n"/>
    </row>
    <row r="260" ht="12.75" customHeight="1" thickBot="1">
      <c r="A260" s="169" t="n"/>
      <c r="B260" s="167" t="n"/>
      <c r="C260" s="169" t="inlineStr">
        <is>
          <t>CIS 15 Service Provider Management</t>
        </is>
      </c>
      <c r="D260" s="181" t="inlineStr">
        <is>
          <t>CIS Controls v8.1</t>
        </is>
      </c>
      <c r="E260" s="169" t="n"/>
      <c r="F260" s="169" t="n"/>
      <c r="G260" s="169" t="n"/>
      <c r="H260" s="169" t="n">
        <v>10000</v>
      </c>
      <c r="I260" s="169" t="n"/>
      <c r="J260" s="12" t="n">
        <v>0.5</v>
      </c>
      <c r="K260" s="11" t="n">
        <v>0.06</v>
      </c>
      <c r="L260" s="13" t="n">
        <v>0.06</v>
      </c>
      <c r="M260" s="167" t="n"/>
      <c r="N260" s="169">
        <f>A260*((SUM(F260:I260))+(J260*1950*80))</f>
        <v/>
      </c>
      <c r="O260" s="169">
        <f>A260*J260</f>
        <v/>
      </c>
      <c r="P260" s="169">
        <f>A260*K260</f>
        <v/>
      </c>
      <c r="Q260" s="169">
        <f>A260*L260</f>
        <v/>
      </c>
      <c r="R260" s="169">
        <f>1-P260</f>
        <v/>
      </c>
      <c r="S260" s="169">
        <f>1-Q260</f>
        <v/>
      </c>
      <c r="T260" s="169" t="n"/>
    </row>
    <row r="261" ht="12.75" customHeight="1" thickBot="1">
      <c r="A261" s="169" t="n"/>
      <c r="B261" s="167" t="n"/>
      <c r="C261" s="169" t="inlineStr">
        <is>
          <t>CIS 16 Application Software Security</t>
        </is>
      </c>
      <c r="D261" s="181" t="inlineStr">
        <is>
          <t>CIS Controls v8.1</t>
        </is>
      </c>
      <c r="E261" s="169" t="n"/>
      <c r="F261" s="169" t="n"/>
      <c r="G261" s="169" t="n"/>
      <c r="H261" s="169" t="n">
        <v>10000</v>
      </c>
      <c r="I261" s="169" t="n"/>
      <c r="J261" s="12" t="n">
        <v>0.5</v>
      </c>
      <c r="K261" s="11" t="n">
        <v>0.06</v>
      </c>
      <c r="L261" s="13" t="n">
        <v>0.06</v>
      </c>
      <c r="M261" s="167" t="n"/>
      <c r="N261" s="169">
        <f>A261*((SUM(F261:I261))+(J261*1950*80))</f>
        <v/>
      </c>
      <c r="O261" s="169">
        <f>A261*J261</f>
        <v/>
      </c>
      <c r="P261" s="169">
        <f>A261*K261</f>
        <v/>
      </c>
      <c r="Q261" s="169">
        <f>A261*L261</f>
        <v/>
      </c>
      <c r="R261" s="169">
        <f>1-P261</f>
        <v/>
      </c>
      <c r="S261" s="169">
        <f>1-Q261</f>
        <v/>
      </c>
      <c r="T261" s="169" t="n"/>
    </row>
    <row r="262" ht="12.75" customHeight="1" thickBot="1">
      <c r="A262" s="169" t="n"/>
      <c r="B262" s="167" t="n"/>
      <c r="C262" s="169" t="inlineStr">
        <is>
          <t>CIS 17 Incident Response Management</t>
        </is>
      </c>
      <c r="D262" s="181" t="inlineStr">
        <is>
          <t>CIS Controls v8.1</t>
        </is>
      </c>
      <c r="E262" s="169" t="n"/>
      <c r="F262" s="169" t="n"/>
      <c r="G262" s="169" t="n"/>
      <c r="H262" s="169" t="n">
        <v>10000</v>
      </c>
      <c r="I262" s="169" t="n"/>
      <c r="J262" s="12" t="n">
        <v>0.5</v>
      </c>
      <c r="K262" s="11" t="n">
        <v>0.06</v>
      </c>
      <c r="L262" s="13" t="n">
        <v>0.06</v>
      </c>
      <c r="M262" s="167" t="n"/>
      <c r="N262" s="169">
        <f>A262*((SUM(F262:I262))+(J262*1950*80))</f>
        <v/>
      </c>
      <c r="O262" s="169">
        <f>A262*J262</f>
        <v/>
      </c>
      <c r="P262" s="169">
        <f>A262*K262</f>
        <v/>
      </c>
      <c r="Q262" s="169">
        <f>A262*L262</f>
        <v/>
      </c>
      <c r="R262" s="169">
        <f>1-P262</f>
        <v/>
      </c>
      <c r="S262" s="169">
        <f>1-Q262</f>
        <v/>
      </c>
      <c r="T262" s="169" t="n"/>
    </row>
    <row r="263" ht="12.75" customHeight="1" thickBot="1">
      <c r="A263" s="169" t="n"/>
      <c r="B263" s="167" t="n"/>
      <c r="C263" s="169" t="inlineStr">
        <is>
          <t>CIS 18 Penetration Testing</t>
        </is>
      </c>
      <c r="D263" s="181" t="inlineStr">
        <is>
          <t>CIS Controls v8.1</t>
        </is>
      </c>
      <c r="E263" s="169" t="n"/>
      <c r="F263" s="169" t="n"/>
      <c r="G263" s="169" t="n"/>
      <c r="H263" s="169" t="n">
        <v>10000</v>
      </c>
      <c r="I263" s="169" t="n"/>
      <c r="J263" s="12" t="n">
        <v>0.5</v>
      </c>
      <c r="K263" s="11" t="n">
        <v>0.06</v>
      </c>
      <c r="L263" s="13" t="n">
        <v>0.06</v>
      </c>
      <c r="M263" s="167" t="n"/>
      <c r="N263" s="169">
        <f>A263*((SUM(F263:I263))+(J263*1950*80))</f>
        <v/>
      </c>
      <c r="O263" s="169">
        <f>A263*J263</f>
        <v/>
      </c>
      <c r="P263" s="169">
        <f>A263*K263</f>
        <v/>
      </c>
      <c r="Q263" s="169">
        <f>A263*L263</f>
        <v/>
      </c>
      <c r="R263" s="169">
        <f>1-P263</f>
        <v/>
      </c>
      <c r="S263" s="169">
        <f>1-Q263</f>
        <v/>
      </c>
      <c r="T263" s="169" t="n"/>
    </row>
    <row r="264" ht="12.75" customHeight="1">
      <c r="A264" s="167" t="n"/>
      <c r="B264" s="167" t="n"/>
      <c r="C264" s="182" t="inlineStr">
        <is>
          <t>Subtotal CIS Controls v8.1 / Sous-total</t>
        </is>
      </c>
      <c r="D264" s="183" t="n"/>
      <c r="E264" s="167" t="n"/>
      <c r="F264" s="167" t="n"/>
      <c r="G264" s="167" t="n"/>
      <c r="H264" s="167" t="n"/>
      <c r="I264" s="167" t="n"/>
      <c r="J264" s="167" t="n"/>
      <c r="K264" s="167" t="n"/>
      <c r="L264" s="167" t="n"/>
      <c r="M264" s="167" t="n"/>
      <c r="N264" s="28">
        <f>SUM(N246:N263)</f>
        <v/>
      </c>
      <c r="O264" s="28">
        <f>SUM(O246:O263)</f>
        <v/>
      </c>
      <c r="P264" s="28">
        <f>1-PRODUCT(R246:R263)</f>
        <v/>
      </c>
      <c r="Q264" s="28">
        <f>1-PRODUCT(S246:S263)</f>
        <v/>
      </c>
      <c r="R264" s="167" t="n"/>
      <c r="S264" s="169" t="n"/>
      <c r="T264" s="169" t="n"/>
    </row>
    <row r="265" ht="22" customHeight="1">
      <c r="A265" s="169" t="n"/>
      <c r="B265" s="169" t="n"/>
      <c r="C265" s="184" t="inlineStr">
        <is>
          <t>Combined package reduction = 1 − ∏(1 − rᵢ) (product rule) / Réduction combinée du bouquet = 1 − ∏(1 − rᵢ)</t>
        </is>
      </c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85" t="inlineStr">
        <is>
          <t>TOTAL:</t>
        </is>
      </c>
      <c r="M265" s="185" t="n"/>
      <c r="N265" s="186">
        <f>N7+N107+N244+N264</f>
        <v/>
      </c>
      <c r="O265" s="187">
        <f>O7+O107+O244+O264</f>
        <v/>
      </c>
      <c r="P265" s="187">
        <f>1-(1-P7)*(1-P107)*(1-P244)*(1-P264)</f>
        <v/>
      </c>
      <c r="Q265" s="187">
        <f>1-(1-Q7)*(1-Q107)*(1-Q244)*(1-Q264)</f>
        <v/>
      </c>
      <c r="R265" s="169" t="n"/>
      <c r="S265" s="169" t="n"/>
      <c r="T265" s="169" t="n"/>
    </row>
    <row r="266" ht="22" customHeight="1">
      <c r="A266" s="169" t="n"/>
      <c r="B266" s="169" t="n"/>
      <c r="C266" s="184" t="inlineStr">
        <is>
          <t>Package reduction used (each rᵢ in 0-1, so never above 1) / Réduction du bouquet retenue</t>
        </is>
      </c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85" t="inlineStr">
        <is>
          <t>USED:</t>
        </is>
      </c>
      <c r="M266" s="185" t="n"/>
      <c r="N266" s="186">
        <f>N265</f>
        <v/>
      </c>
      <c r="O266" s="187">
        <f>O265</f>
        <v/>
      </c>
      <c r="P266" s="187">
        <f>MIN(1,MAX(0,P265))</f>
        <v/>
      </c>
      <c r="Q266" s="187">
        <f>MIN(1,MAX(0,Q265))</f>
        <v/>
      </c>
      <c r="R266" s="169" t="n"/>
      <c r="S266" s="169" t="n"/>
      <c r="T266" s="169" t="n"/>
    </row>
    <row r="267">
      <c r="A267" s="169" t="n"/>
      <c r="B267" s="169" t="n"/>
      <c r="C267" s="188">
        <f>IF(OR(COUNTIF($K$2:$L$263,"&gt;1")&gt;0,COUNTIF($K$2:$L$263,"&lt;0")&gt;0),"WARNING: a coefficient (K or L) is outside 0-1 - correct it / AVERTISSEMENT : un coefficient (K ou L) est hors de 0-1 - le corriger","")</f>
        <v/>
      </c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</row>
    <row r="268" thickBot="1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</row>
    <row r="269" thickBot="1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</row>
    <row r="274" thickBot="1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</row>
    <row r="275" thickBot="1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</row>
    <row r="278" thickBot="1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</row>
    <row r="279" thickBot="1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</row>
    <row r="281" thickBot="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</row>
    <row r="282" thickBot="1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</row>
    <row r="283" thickBot="1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</row>
    <row r="284" thickBot="1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</row>
    <row r="286" thickBot="1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</row>
    <row r="287" thickBot="1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</row>
    <row r="290" thickBot="1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</row>
    <row r="291" thickBot="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</row>
    <row r="299" thickBot="1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</row>
    <row r="300" thickBot="1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</row>
    <row r="310" thickBot="1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</row>
    <row r="311" thickBot="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</row>
    <row r="318" thickBot="1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</row>
    <row r="319" thickBot="1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</row>
    <row r="328" thickBot="1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</row>
    <row r="329" thickBot="1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</row>
    <row r="334" thickBot="1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</row>
    <row r="335" thickBot="1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</row>
    <row r="343" thickBot="1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</row>
    <row r="344" thickBot="1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</row>
    <row r="354" thickBot="1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</row>
    <row r="355" thickBot="1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</row>
    <row r="363" thickBot="1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</row>
    <row r="364" thickBot="1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</row>
    <row r="369" thickBot="1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</row>
    <row r="370" thickBot="1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</row>
    <row r="375" thickBot="1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</row>
    <row r="376" thickBot="1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</row>
    <row r="383" thickBot="1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</row>
    <row r="384" thickBot="1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</row>
    <row r="396" thickBot="1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</row>
    <row r="397" thickBot="1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</row>
    <row r="406" thickBot="1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</row>
    <row r="407" thickBot="1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</row>
    <row r="416" thickBot="1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</row>
    <row r="417" thickBot="1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</row>
    <row r="427" thickBot="1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</row>
    <row r="428" thickBot="1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</row>
    <row r="442" thickBot="1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</row>
    <row r="443" thickBot="1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</row>
    <row r="452" thickBot="1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</row>
    <row r="453" thickBot="1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</row>
    <row r="464" thickBot="1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</row>
    <row r="465" thickBot="1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</row>
    <row r="473" thickBot="1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</row>
    <row r="474" thickBot="1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</row>
    <row r="482" thickBot="1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</row>
    <row r="483" thickBot="1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</row>
  </sheetData>
  <conditionalFormatting sqref="P265:Q265">
    <cfRule type="expression" priority="1" dxfId="6">
      <formula>OR(COUNTIF($K$2:$L$263,"&gt;1")&gt;0,COUNTIF($K$2:$L$263,"&lt;0")&gt;0)</formula>
    </cfRule>
  </conditionalFormatting>
  <dataValidations count="2">
    <dataValidation sqref="A2:A6 A11:A47 A49:A56 A58:A71 A73:A106 A112:A116 A118:A124 A126:A129 A131:A132 A134:A136 A138:A147 A150:A156 A158:A167 A169:A172 A175:A180 A182:A183 A185:A188 A190:A195 A197:A200 A203:A207 A209:A214 A217:A221 A223:A226 A228:A229 A231:A232 A235:A240 A242:A243 A246:A263" showDropDown="0" showInputMessage="1" showErrorMessage="1" allowBlank="1" errorTitle="Include / Inclure" error="Enter 1 to include the control, 0 or empty to exclude. / 1 = inclure, 0 ou vide = exclure." promptTitle="Include / Inclure" prompt="1 = include this control; 0 or empty = not selected. / 1 = inclure; 0 ou vide = non sélectionné." type="whole" operator="between">
      <formula1>0</formula1>
      <formula2>1</formula2>
    </dataValidation>
    <dataValidation sqref="K2:K6 K11:K47 K49:K56 K58:K71 K73:K106 K112:K116 K118:K124 K126:K129 K131:K132 K134:K136 K138:K147 K150:K156 K158:K167 K169:K172 K175:K180 K182:K183 K185:K188 K190:K195 K197:K200 K203:K207 K209:K214 K217:K221 K223:K226 K228:K229 K231:K232 K235:K240 K242:K243 K246:K263 L2:L6 L11:L47 L49:L56 L58:L71 L73:L106 L112:L116 L118:L124 L126:L129 L131:L132 L134:L136 L138:L147 L150:L156 L158:L167 L169:L172 L175:L180 L182:L183 L185:L188 L190:L195 L197:L200 L203:L207 L209:L214 L217:L221 L223:L226 L228:L229 L231:L232 L235:L240 L242:L243 L246:L263" showDropDown="0" showInputMessage="1" showErrorMessage="1" allowBlank="1" errorTitle="Reduction / Réduction" error="Reduction coefficients are shares of risk removed, between 0 and 1. / Coefficient entre 0 et 1." promptTitle="Reduction (0-1)" prompt="Share of risk removed (0-1). The package total is capped at 1. / Part du risque retirée (0-1); total plafonné à 1." type="decimal" operator="between">
      <formula1>0</formula1>
      <formula2>1</formula2>
    </dataValidation>
  </dataValidations>
  <pageMargins left="0.7" right="0.7" top="0.75" bottom="0.75" header="0.3" footer="0.3"/>
  <pageSetup orientation="portrait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Marc-Andre Leger</dc:creator>
  <dcterms:created xmlns:dcterms="http://purl.org/dc/terms/" xmlns:xsi="http://www.w3.org/2001/XMLSchema-instance" xsi:type="dcterms:W3CDTF">2017-09-25T13:19:20Z</dcterms:created>
  <dcterms:modified xmlns:dcterms="http://purl.org/dc/terms/" xmlns:xsi="http://www.w3.org/2001/XMLSchema-instance" xsi:type="dcterms:W3CDTF">2026-10-23T16:21:31Z</dcterms:modified>
  <cp:lastModifiedBy>Marc-Andre Leger</cp:lastModifiedBy>
  <cp:lastPrinted>2023-08-24T12:04:28Z</cp:lastPrinted>
</cp:coreProperties>
</file>